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996" tabRatio="5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vice List" sheetId="2" state="visible" r:id="rId2"/>
    <sheet xmlns:r="http://schemas.openxmlformats.org/officeDocument/2006/relationships" name="Protocol Summary" sheetId="3" state="visible" r:id="rId3"/>
    <sheet xmlns:r="http://schemas.openxmlformats.org/officeDocument/2006/relationships" name="IO List" sheetId="4" state="visible" r:id="rId4"/>
    <sheet xmlns:r="http://schemas.openxmlformats.org/officeDocument/2006/relationships" name="IO Summary" sheetId="5" state="visible" r:id="rId5"/>
    <sheet xmlns:r="http://schemas.openxmlformats.org/officeDocument/2006/relationships" name="IO Rows" sheetId="6" state="visible" r:id="rId6"/>
    <sheet xmlns:r="http://schemas.openxmlformats.org/officeDocument/2006/relationships" name="Comms Points" sheetId="7" state="visible" r:id="rId7"/>
    <sheet xmlns:r="http://schemas.openxmlformats.org/officeDocument/2006/relationships" name="Comms Point List" sheetId="8" state="visible" r:id="rId8"/>
    <sheet xmlns:r="http://schemas.openxmlformats.org/officeDocument/2006/relationships" name="Datasheets" sheetId="9" state="visible" r:id="rId9"/>
  </sheets>
  <definedNames>
    <definedName name="_xlnm._FilterDatabase" localSheetId="1" hidden="1">'Device List'!$A$1:$N$54</definedName>
    <definedName name="_xlnm._FilterDatabase" localSheetId="3" hidden="1">'IO List'!$A$1:$M$245</definedName>
    <definedName name="_xlnm._FilterDatabase" localSheetId="6" hidden="1">'Comms Points'!$A$1:$K$146</definedName>
    <definedName name="_xlnm._FilterDatabase" localSheetId="7" hidden="1">'Comms Point List'!$A$1:$K$457</definedName>
    <definedName name="_xlnm._FilterDatabase" localSheetId="8" hidden="1">'Datasheets'!$A$1:$I$43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i val="1"/>
      <sz val="10"/>
    </font>
  </fonts>
  <fills count="5">
    <fill>
      <patternFill/>
    </fill>
    <fill>
      <patternFill patternType="gray125"/>
    </fill>
    <fill>
      <patternFill patternType="solid">
        <fgColor rgb="FFDCE6F0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vertical="top" wrapText="1"/>
    </xf>
    <xf numFmtId="0" fontId="2" fillId="3" borderId="0" pivotButton="0" quotePrefix="0" xfId="0"/>
    <xf numFmtId="0" fontId="4" fillId="4" borderId="1" applyAlignment="1" pivotButton="0" quotePrefix="0" xfId="0">
      <alignment vertical="center" wrapText="1"/>
    </xf>
    <xf numFmtId="0" fontId="2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  <xf numFmtId="9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DC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zoomScaleNormal="100" workbookViewId="0">
      <selection activeCell="A1" sqref="A1"/>
    </sheetView>
  </sheetViews>
  <sheetFormatPr baseColWidth="8" defaultColWidth="8.6640625" defaultRowHeight="14.25"/>
  <cols>
    <col width="26" customWidth="1" min="1" max="1"/>
    <col width="100" customWidth="1" min="2" max="2"/>
  </cols>
  <sheetData>
    <row r="1" ht="17.65" customHeight="1">
      <c r="A1" s="1" t="inlineStr">
        <is>
          <t>Villa Somalia Hybrid Plant: SCADA Device and I/O List</t>
        </is>
      </c>
    </row>
    <row r="2"/>
    <row r="3" ht="25.5" customHeight="1">
      <c r="A3" s="2" t="inlineStr">
        <is>
          <t>Project</t>
        </is>
      </c>
      <c r="B3" s="3" t="inlineStr">
        <is>
          <t>Solarization of Villa Somalia, Mogadishu. 1,516 kWp PV, 3,340 kWh BESS, 2 diesel generators, 11 kV switchboard, 2 office transformer stations.</t>
        </is>
      </c>
    </row>
    <row r="4">
      <c r="A4" s="2" t="inlineStr">
        <is>
          <t>Status</t>
        </is>
      </c>
      <c r="B4" s="3" t="inlineStr">
        <is>
          <t>Rev 1, 15 Oct 2026: harmonised with the design report, the drawings and the HMI demonstration. For client submission as Attachment B.</t>
        </is>
      </c>
    </row>
    <row r="5" ht="25.5" customHeight="1">
      <c r="A5" s="2" t="inlineStr">
        <is>
          <t>Controller</t>
        </is>
      </c>
      <c r="B5" s="3" t="inlineStr">
        <is>
          <t>Siemens SICAM A8000 CP-8050 as plant controller and gateway. The embedded EMS keeps dispatch of PV, battery and generators.</t>
        </is>
      </c>
    </row>
    <row r="6">
      <c r="A6" s="2" t="inlineStr">
        <is>
          <t>SCADA</t>
        </is>
      </c>
      <c r="B6" s="3" t="inlineStr">
        <is>
          <t>Siemens SICAM SCC on two servers (active and hot standby), linked to the CP-8050 by IEC 60870-5-104.</t>
        </is>
      </c>
    </row>
    <row r="7">
      <c r="A7" s="4" t="n"/>
      <c r="B7" s="3" t="n"/>
    </row>
    <row r="8">
      <c r="A8" s="5" t="inlineStr">
        <is>
          <t>Sheets</t>
        </is>
      </c>
      <c r="B8" s="6" t="n"/>
    </row>
    <row r="9">
      <c r="A9" s="2" t="inlineStr">
        <is>
          <t>Device List</t>
        </is>
      </c>
      <c r="B9" s="3" t="inlineStr">
        <is>
          <t>Every device in the design: model, product or ordering number, quantity, location, interface and protocol to the CP-8050.</t>
        </is>
      </c>
    </row>
    <row r="10">
      <c r="A10" s="2" t="inlineStr">
        <is>
          <t>Protocol Summary</t>
        </is>
      </c>
      <c r="B10" s="3" t="inlineStr">
        <is>
          <t>Device quantities per protocol, calculated from the Device List.</t>
        </is>
      </c>
    </row>
    <row r="11">
      <c r="A11" s="2" t="inlineStr">
        <is>
          <t>IO List</t>
        </is>
      </c>
      <c r="B11" s="3" t="inlineStr">
        <is>
          <t>Every hardwired signal: tag, description, type, I/O row, module and channel, alarm level and who may operate it.</t>
        </is>
      </c>
    </row>
    <row r="12">
      <c r="A12" s="2" t="inlineStr">
        <is>
          <t>Datasheets</t>
        </is>
      </c>
      <c r="B12" s="3" t="inlineStr">
        <is>
          <t>Register of every datasheet and software document for Attachment C, with where to download it and a Collected column.</t>
        </is>
      </c>
    </row>
    <row r="13">
      <c r="A13" s="2" t="inlineStr">
        <is>
          <t>IO Rows</t>
        </is>
      </c>
      <c r="B13" s="3" t="inlineStr">
        <is>
          <t>Where each of the six I/O rows sits, its remote interface, link to the CP-8050 and the equipment wired to it.</t>
        </is>
      </c>
    </row>
    <row r="14">
      <c r="A14" s="2" t="inlineStr">
        <is>
          <t>IO Summary</t>
        </is>
      </c>
      <c r="B14" s="3" t="inlineStr">
        <is>
          <t>Channels used and spare per I/O module, calculated from the IO List.</t>
        </is>
      </c>
    </row>
    <row r="15">
      <c r="A15" s="2" t="inlineStr">
        <is>
          <t>Comms Points</t>
        </is>
      </c>
      <c r="B15" s="3" t="inlineStr">
        <is>
          <t>Typical signals read or written over communication links, per device type, with quantities. Replace with each vendor's point table.</t>
        </is>
      </c>
    </row>
    <row r="16">
      <c r="A16" s="2" t="inlineStr">
        <is>
          <t>Comms Point List</t>
        </is>
      </c>
      <c r="B16" s="3" t="inlineStr">
        <is>
          <t>The Comms Points expanded to one row per signal, each with its own tag and alarm level, as used by the HMI.</t>
        </is>
      </c>
    </row>
    <row r="17">
      <c r="A17" s="4" t="n"/>
      <c r="B17" s="3" t="n"/>
    </row>
    <row r="18">
      <c r="A18" s="5" t="inlineStr">
        <is>
          <t>Number status key</t>
        </is>
      </c>
      <c r="B18" s="6" t="n"/>
    </row>
    <row r="19">
      <c r="A19" s="2" t="inlineStr">
        <is>
          <t>Checked</t>
        </is>
      </c>
      <c r="B19" s="3" t="inlineStr">
        <is>
          <t>Product number found on a supplier listing or a Siemens configuration document.</t>
        </is>
      </c>
    </row>
    <row r="20">
      <c r="A20" s="2" t="inlineStr">
        <is>
          <t>From memory - confirm</t>
        </is>
      </c>
      <c r="B20" s="3" t="inlineStr">
        <is>
          <t>Ordering code from knowledge of the maker's catalogue; not checked online. Confirm with the distributor.</t>
        </is>
      </c>
    </row>
    <row r="21">
      <c r="A21" s="2" t="inlineStr">
        <is>
          <t>To confirm with supplier</t>
        </is>
      </c>
      <c r="B21" s="3" t="inlineStr">
        <is>
          <t>Product exists but its number was not found. Take it from the supplier's quotation.</t>
        </is>
      </c>
    </row>
    <row r="22" ht="25.5" customHeight="1">
      <c r="A22" s="2" t="inlineStr">
        <is>
          <t>Existing (drawings)</t>
        </is>
      </c>
      <c r="B22" s="3" t="inlineStr">
        <is>
          <t>Device already specified in drawing set VILLA_SOMALIA_05_10_2026.</t>
        </is>
      </c>
    </row>
    <row r="23">
      <c r="A23" s="7" t="inlineStr">
        <is>
          <t>TBC</t>
        </is>
      </c>
      <c r="B23" s="3" t="inlineStr">
        <is>
          <t>Make or model unknown. Must come from the PV designer or the equipment supplier. Cells marked TBC are shaded yellow.</t>
        </is>
      </c>
    </row>
    <row r="24">
      <c r="A24" s="4" t="n"/>
      <c r="B24" s="3" t="n"/>
    </row>
    <row r="25" ht="25.5" customHeight="1">
      <c r="A25" s="5" t="inlineStr">
        <is>
          <t>Assumptions</t>
        </is>
      </c>
      <c r="B25" s="6" t="n"/>
    </row>
    <row r="26">
      <c r="A26" s="4" t="inlineStr">
        <is>
          <t>1</t>
        </is>
      </c>
      <c r="B26" s="3" t="inlineStr">
        <is>
          <t>Auxiliary control voltage is 110 V DC. This selects DI-8112, CI-8532, CI-8533 and PS-8642. For 24 V or 220 V DC see the variant note on the Device List.</t>
        </is>
      </c>
    </row>
    <row r="27" ht="25.5" customHeight="1">
      <c r="A27" s="4" t="inlineStr">
        <is>
          <t>2</t>
        </is>
      </c>
      <c r="B27" s="3" t="inlineStr">
        <is>
          <t>11 kV breakers, RMU switches and LVDB incomers are motorised and accept remote open and close.</t>
        </is>
      </c>
    </row>
    <row r="28" ht="25.5" customHeight="1">
      <c r="A28" s="4" t="inlineStr">
        <is>
          <t>3</t>
        </is>
      </c>
      <c r="B28" s="3" t="inlineStr">
        <is>
          <t>The embedded EMS offers Modbus TCP. The PV inverter data reaches the CP-8050 from the power line communication box, as shown on the existing communication sheet.</t>
        </is>
      </c>
    </row>
    <row r="29" ht="25.5" customHeight="1">
      <c r="A29" s="4" t="inlineStr">
        <is>
          <t>4</t>
        </is>
      </c>
      <c r="B29" s="3" t="inlineStr">
        <is>
          <t>Signal counts per device are typical values. They must be checked against the switchgear, RMU, transformer and fire panel terminal schedules.</t>
        </is>
      </c>
    </row>
    <row r="30">
      <c r="A30" s="4" t="inlineStr">
        <is>
          <t>5</t>
        </is>
      </c>
      <c r="B30" s="3" t="inlineStr">
        <is>
          <t>Measurements (current, voltage, power, energy) come over communication from relays, meters and the EMS, not hardwired.</t>
        </is>
      </c>
    </row>
    <row r="31" ht="38.25" customHeight="1">
      <c r="A31" s="4" t="inlineStr">
        <is>
          <t>6</t>
        </is>
      </c>
      <c r="B31" s="3" t="inlineStr">
        <is>
          <t>Spare capacity target is about 20% per I/O row.</t>
        </is>
      </c>
    </row>
    <row r="32">
      <c r="A32" s="4" t="inlineStr">
        <is>
          <t>7</t>
        </is>
      </c>
      <c r="B32" s="3" t="inlineStr">
        <is>
          <t>Field signals are collected by the nearest I/O row: switchroom (rows 1, 2), office stations (rows 3, 4), BESS and inverter transformer yard (row 5), generator area (row 6). Remote rows 3 to 6 link to the CP-8050 by fibre. Actual cable distances are not known yet.</t>
        </is>
      </c>
    </row>
    <row r="34">
      <c r="A34" s="2" t="inlineStr">
        <is>
          <t>Revision 1 changes</t>
        </is>
      </c>
    </row>
    <row r="35">
      <c r="A35" t="n">
        <v>1</v>
      </c>
      <c r="B35" t="inlineStr">
        <is>
          <t>AH8: breaker open, closed, tripped, earth switch and gas pressure added (row 1). The 11 kV system is earthed only through AH8.</t>
        </is>
      </c>
    </row>
    <row r="36">
      <c r="A36" t="n">
        <v>2</v>
      </c>
      <c r="B36" t="inlineStr">
        <is>
          <t>LV main breakers added: PV ACB 1250 A and BESS ACB 1000 A (row 5), DG step-up transformer LV ACB (row 6).</t>
        </is>
      </c>
    </row>
    <row r="37">
      <c r="A37" t="n">
        <v>3</v>
      </c>
      <c r="B37" t="inlineStr">
        <is>
          <t>Combiner panels: trip of the four inverter AC MCCBs (row 5); battery combiner panel switch and fuse status through the EMS.</t>
        </is>
      </c>
    </row>
    <row r="38">
      <c r="A38" t="n">
        <v>4</v>
      </c>
      <c r="B38" t="inlineStr">
        <is>
          <t>Auxiliary transformer XRNT-3A fuse blown (row 2); RMU UPS 2 kVA on battery and fault at both office stations (rows 3, 4).</t>
        </is>
      </c>
    </row>
    <row r="39">
      <c r="A39" t="n">
        <v>5</v>
      </c>
      <c r="B39" t="inlineStr">
        <is>
          <t>11 kV relays: trip circuit supervision (7), sensitive earth fault trip (6) and reverse power trip on AH1 added as communication points.</t>
        </is>
      </c>
    </row>
    <row r="40">
      <c r="A40" t="n">
        <v>6</v>
      </c>
      <c r="B40" t="inlineStr">
        <is>
          <t>Totals: 244 hardwired signals and 456 communication points. Overall spare is 27%; row 5 drops to 19% (6 of 32 channels), just under the 20% target: add a third DI-8112 there if more yard signals appear.</t>
        </is>
      </c>
    </row>
    <row r="41">
      <c r="A41" t="n">
        <v>7</v>
      </c>
      <c r="B41" t="inlineStr">
        <is>
          <t>Comms Point List sheet added. Devices D49 and D50 added to the Device List.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tabSelected="1" zoomScaleNormal="100" workbookViewId="0">
      <pane xSplit="3" ySplit="1" topLeftCell="D29" activePane="bottomRight" state="frozen"/>
      <selection pane="topRight" activeCell="D1" sqref="D1"/>
      <selection pane="bottomLeft" activeCell="A2" sqref="A2"/>
      <selection pane="bottomRight" activeCell="F33" sqref="F33"/>
    </sheetView>
  </sheetViews>
  <sheetFormatPr baseColWidth="8" defaultColWidth="8.6640625" defaultRowHeight="14.25"/>
  <cols>
    <col width="7" customWidth="1" min="1" max="1"/>
    <col width="16" customWidth="1" min="2" max="2"/>
    <col width="32" customWidth="1" min="3" max="3"/>
    <col width="18" customWidth="1" min="4" max="4"/>
    <col width="22" customWidth="1" min="5" max="6"/>
    <col width="18" customWidth="1" min="7" max="7"/>
    <col width="6" customWidth="1" min="8" max="8"/>
    <col width="20" customWidth="1" min="9" max="9"/>
    <col width="24" customWidth="1" min="10" max="10"/>
    <col width="32" customWidth="1" min="11" max="11"/>
    <col width="18" customWidth="1" min="12" max="12"/>
    <col width="12" customWidth="1" min="13" max="13"/>
    <col width="46" customWidth="1" min="14" max="14"/>
  </cols>
  <sheetData>
    <row r="1" ht="30" customHeight="1">
      <c r="A1" s="8" t="inlineStr">
        <is>
          <t>ID</t>
        </is>
      </c>
      <c r="B1" s="8" t="inlineStr">
        <is>
          <t>Group</t>
        </is>
      </c>
      <c r="C1" s="8" t="inlineStr">
        <is>
          <t>Device</t>
        </is>
      </c>
      <c r="D1" s="8" t="inlineStr">
        <is>
          <t>Manufacturer</t>
        </is>
      </c>
      <c r="E1" s="8" t="inlineStr">
        <is>
          <t>Model</t>
        </is>
      </c>
      <c r="F1" s="8" t="inlineStr">
        <is>
          <t>Product / ordering no.</t>
        </is>
      </c>
      <c r="G1" s="8" t="inlineStr">
        <is>
          <t>Number status</t>
        </is>
      </c>
      <c r="H1" s="8" t="inlineStr">
        <is>
          <t>Qty</t>
        </is>
      </c>
      <c r="I1" s="8" t="inlineStr">
        <is>
          <t>Location</t>
        </is>
      </c>
      <c r="J1" s="8" t="inlineStr">
        <is>
          <t>Physical interface</t>
        </is>
      </c>
      <c r="K1" s="8" t="inlineStr">
        <is>
          <t>Protocol to CP-8050</t>
        </is>
      </c>
      <c r="L1" s="8" t="inlineStr">
        <is>
          <t>Primary protocol</t>
        </is>
      </c>
      <c r="M1" s="8" t="inlineStr">
        <is>
          <t>Hardwired to I/O row</t>
        </is>
      </c>
      <c r="N1" s="8" t="inlineStr">
        <is>
          <t>Notes</t>
        </is>
      </c>
    </row>
    <row r="2">
      <c r="A2" s="9" t="inlineStr">
        <is>
          <t>A. Plant equipment (existing or by others)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25.5" customHeight="1">
      <c r="A3" s="11" t="inlineStr">
        <is>
          <t>D01</t>
        </is>
      </c>
      <c r="B3" s="11" t="inlineStr">
        <is>
          <t>Plant</t>
        </is>
      </c>
      <c r="C3" s="11" t="inlineStr">
        <is>
          <t>PV string inverters NB01 to NB04</t>
        </is>
      </c>
      <c r="D3" s="11" t="inlineStr">
        <is>
          <t>Sungrow</t>
        </is>
      </c>
      <c r="E3" s="11" t="inlineStr">
        <is>
          <t>SG350HX</t>
        </is>
      </c>
      <c r="F3" s="11" t="inlineStr">
        <is>
          <t>-</t>
        </is>
      </c>
      <c r="G3" s="11" t="inlineStr">
        <is>
          <t>Existing (drawings)</t>
        </is>
      </c>
      <c r="H3" s="11" t="n">
        <v>4</v>
      </c>
      <c r="I3" s="11" t="inlineStr">
        <is>
          <t>PV field</t>
        </is>
      </c>
      <c r="J3" s="11" t="inlineStr">
        <is>
          <t>AC power cable</t>
        </is>
      </c>
      <c r="K3" s="11" t="inlineStr">
        <is>
          <t>Power line communication to the PLC box</t>
        </is>
      </c>
      <c r="L3" s="11" t="inlineStr">
        <is>
          <t>Power line communication</t>
        </is>
      </c>
      <c r="M3" s="11" t="inlineStr">
        <is>
          <t>-</t>
        </is>
      </c>
      <c r="N3" s="11" t="inlineStr">
        <is>
          <t>Not connected to the CP-8050 directly.</t>
        </is>
      </c>
    </row>
    <row r="4" ht="25.5" customHeight="1">
      <c r="A4" s="11" t="inlineStr">
        <is>
          <t>D02</t>
        </is>
      </c>
      <c r="B4" s="11" t="inlineStr">
        <is>
          <t>Plant</t>
        </is>
      </c>
      <c r="C4" s="11" t="inlineStr">
        <is>
          <t>Power line communication box (PLC box)</t>
        </is>
      </c>
      <c r="D4" s="11" t="inlineStr">
        <is>
          <t>Sungrow</t>
        </is>
      </c>
      <c r="E4" s="12" t="inlineStr">
        <is>
          <t>TBC</t>
        </is>
      </c>
      <c r="F4" s="12" t="inlineStr">
        <is>
          <t>TBC</t>
        </is>
      </c>
      <c r="G4" s="12" t="inlineStr">
        <is>
          <t>TBC</t>
        </is>
      </c>
      <c r="H4" s="11" t="n">
        <v>1</v>
      </c>
      <c r="I4" s="11" t="inlineStr">
        <is>
          <t>Inverter MV station</t>
        </is>
      </c>
      <c r="J4" s="11" t="inlineStr">
        <is>
          <t>Ethernet RJ45</t>
        </is>
      </c>
      <c r="K4" s="11" t="inlineStr">
        <is>
          <t>Modbus TCP (to confirm)</t>
        </is>
      </c>
      <c r="L4" s="11" t="inlineStr">
        <is>
          <t>Modbus TCP</t>
        </is>
      </c>
      <c r="M4" s="11" t="inlineStr">
        <is>
          <t>-</t>
        </is>
      </c>
      <c r="N4" s="11" t="inlineStr">
        <is>
          <t>Converts inverter data to Ethernet. Get model and point table from the PV designer.</t>
        </is>
      </c>
    </row>
    <row r="5" ht="25.5" customHeight="1">
      <c r="A5" s="11" t="inlineStr">
        <is>
          <t>D03</t>
        </is>
      </c>
      <c r="B5" s="11" t="inlineStr">
        <is>
          <t>Plant</t>
        </is>
      </c>
      <c r="C5" s="11" t="inlineStr">
        <is>
          <t>Embedded energy management system (EMS)</t>
        </is>
      </c>
      <c r="D5" s="12" t="inlineStr">
        <is>
          <t>TBC</t>
        </is>
      </c>
      <c r="E5" s="12" t="inlineStr">
        <is>
          <t>TBC</t>
        </is>
      </c>
      <c r="F5" s="12" t="inlineStr">
        <is>
          <t>TBC</t>
        </is>
      </c>
      <c r="G5" s="12" t="inlineStr">
        <is>
          <t>TBC</t>
        </is>
      </c>
      <c r="H5" s="11" t="n">
        <v>1</v>
      </c>
      <c r="I5" s="11" t="inlineStr">
        <is>
          <t>BESS / EMS area</t>
        </is>
      </c>
      <c r="J5" s="11" t="inlineStr">
        <is>
          <t>Ethernet RJ45</t>
        </is>
      </c>
      <c r="K5" s="11" t="inlineStr">
        <is>
          <t>Modbus TCP (to confirm)</t>
        </is>
      </c>
      <c r="L5" s="11" t="inlineStr">
        <is>
          <t>Modbus TCP</t>
        </is>
      </c>
      <c r="M5" s="11" t="inlineStr">
        <is>
          <t>-</t>
        </is>
      </c>
      <c r="N5" s="11" t="inlineStr">
        <is>
          <t>Dispatches PV, battery and generators. Only the CP-8050 writes settings to it.</t>
        </is>
      </c>
    </row>
    <row r="6" ht="25.5" customHeight="1">
      <c r="A6" s="11" t="inlineStr">
        <is>
          <t>D04</t>
        </is>
      </c>
      <c r="B6" s="11" t="inlineStr">
        <is>
          <t>Plant</t>
        </is>
      </c>
      <c r="C6" s="11" t="inlineStr">
        <is>
          <t>Battery energy storage system, 3,340 kWh</t>
        </is>
      </c>
      <c r="D6" s="11" t="inlineStr">
        <is>
          <t>Sungrow</t>
        </is>
      </c>
      <c r="E6" s="11" t="inlineStr">
        <is>
          <t>ST3340UX</t>
        </is>
      </c>
      <c r="F6" s="11" t="inlineStr">
        <is>
          <t>-</t>
        </is>
      </c>
      <c r="G6" s="11" t="inlineStr">
        <is>
          <t>Existing (drawings)</t>
        </is>
      </c>
      <c r="H6" s="11" t="n">
        <v>1</v>
      </c>
      <c r="I6" s="11" t="inlineStr">
        <is>
          <t>BESS area</t>
        </is>
      </c>
      <c r="J6" s="11" t="inlineStr">
        <is>
          <t>Ethernet (via EMS)</t>
        </is>
      </c>
      <c r="K6" s="11" t="inlineStr">
        <is>
          <t>Through the EMS, Modbus TCP</t>
        </is>
      </c>
      <c r="L6" s="11" t="inlineStr">
        <is>
          <t>Modbus TCP</t>
        </is>
      </c>
      <c r="M6" s="11" t="inlineStr">
        <is>
          <t>-</t>
        </is>
      </c>
      <c r="N6" s="11" t="inlineStr">
        <is>
          <t>Confirm whether battery data is read through the EMS or directly. Battery combiner panel status read through the EMS if available (rev 1).</t>
        </is>
      </c>
    </row>
    <row r="7" ht="25.5" customHeight="1">
      <c r="A7" s="11" t="inlineStr">
        <is>
          <t>D05</t>
        </is>
      </c>
      <c r="B7" s="11" t="inlineStr">
        <is>
          <t>Plant</t>
        </is>
      </c>
      <c r="C7" s="11" t="inlineStr">
        <is>
          <t>Generator controllers DG1, DG2</t>
        </is>
      </c>
      <c r="D7" s="12" t="inlineStr">
        <is>
          <t>TBC</t>
        </is>
      </c>
      <c r="E7" s="12" t="inlineStr">
        <is>
          <t>TBC</t>
        </is>
      </c>
      <c r="F7" s="12" t="inlineStr">
        <is>
          <t>TBC</t>
        </is>
      </c>
      <c r="G7" s="12" t="inlineStr">
        <is>
          <t>TBC</t>
        </is>
      </c>
      <c r="H7" s="11" t="n">
        <v>2</v>
      </c>
      <c r="I7" s="11" t="inlineStr">
        <is>
          <t>Generator area</t>
        </is>
      </c>
      <c r="J7" s="11" t="inlineStr">
        <is>
          <t>Ethernet or RS485</t>
        </is>
      </c>
      <c r="K7" s="11" t="inlineStr">
        <is>
          <t>Modbus TCP, or Modbus RTU through a gateway</t>
        </is>
      </c>
      <c r="L7" s="11" t="inlineStr">
        <is>
          <t>Modbus TCP</t>
        </is>
      </c>
      <c r="M7" s="11" t="inlineStr">
        <is>
          <t>Row 6</t>
        </is>
      </c>
      <c r="N7" s="11" t="inlineStr">
        <is>
          <t>Breaker status, alarm, E-stop, running and fuel level also hardwired to row 6.</t>
        </is>
      </c>
    </row>
    <row r="8" ht="25.5" customHeight="1">
      <c r="A8" s="11" t="inlineStr">
        <is>
          <t>D06</t>
        </is>
      </c>
      <c r="B8" s="11" t="inlineStr">
        <is>
          <t>Plant</t>
        </is>
      </c>
      <c r="C8" s="11" t="inlineStr">
        <is>
          <t>11 kV protection relays, panels AH1 to AH7</t>
        </is>
      </c>
      <c r="D8" s="12" t="inlineStr">
        <is>
          <t>TBC (switchgear supplier)</t>
        </is>
      </c>
      <c r="E8" s="12" t="inlineStr">
        <is>
          <t>TBC</t>
        </is>
      </c>
      <c r="F8" s="12" t="inlineStr">
        <is>
          <t>TBC</t>
        </is>
      </c>
      <c r="G8" s="12" t="inlineStr">
        <is>
          <t>TBC</t>
        </is>
      </c>
      <c r="H8" s="11" t="n">
        <v>7</v>
      </c>
      <c r="I8" s="11" t="inlineStr">
        <is>
          <t>11 kV switchroom</t>
        </is>
      </c>
      <c r="J8" s="11" t="inlineStr">
        <is>
          <t>Ethernet, 2 ports preferred</t>
        </is>
      </c>
      <c r="K8" s="11" t="inlineStr">
        <is>
          <t>IEC 61850 MMS, or Modbus TCP</t>
        </is>
      </c>
      <c r="L8" s="11" t="inlineStr">
        <is>
          <t>IEC 61850</t>
        </is>
      </c>
      <c r="M8" s="11" t="inlineStr">
        <is>
          <t>Row 1</t>
        </is>
      </c>
      <c r="N8" s="11" t="inlineStr">
        <is>
          <t>Dual-connect to both core switches if the relay has two ports.</t>
        </is>
      </c>
    </row>
    <row r="9" ht="25.5" customHeight="1">
      <c r="A9" s="11" t="inlineStr">
        <is>
          <t>D07</t>
        </is>
      </c>
      <c r="B9" s="11" t="inlineStr">
        <is>
          <t>Plant</t>
        </is>
      </c>
      <c r="C9" s="11" t="inlineStr">
        <is>
          <t>Neutral earthing resistor panel AH8</t>
        </is>
      </c>
      <c r="D9" s="12" t="inlineStr">
        <is>
          <t>TBC (switchgear supplier)</t>
        </is>
      </c>
      <c r="E9" s="11" t="inlineStr">
        <is>
          <t>-</t>
        </is>
      </c>
      <c r="F9" s="11" t="inlineStr">
        <is>
          <t>-</t>
        </is>
      </c>
      <c r="G9" s="12" t="inlineStr">
        <is>
          <t>TBC</t>
        </is>
      </c>
      <c r="H9" s="11" t="n">
        <v>1</v>
      </c>
      <c r="I9" s="11" t="inlineStr">
        <is>
          <t>11 kV switchroom</t>
        </is>
      </c>
      <c r="J9" s="11" t="inlineStr">
        <is>
          <t>Dry contacts</t>
        </is>
      </c>
      <c r="K9" s="11" t="inlineStr">
        <is>
          <t>Hardwired</t>
        </is>
      </c>
      <c r="L9" s="11" t="inlineStr">
        <is>
          <t>Hardwired</t>
        </is>
      </c>
      <c r="M9" s="11" t="inlineStr">
        <is>
          <t>Row 1</t>
        </is>
      </c>
      <c r="N9" s="11" t="inlineStr">
        <is>
          <t>Breaker position, trip, earth switch and gas pressure also wired to row 1 (rev 1).</t>
        </is>
      </c>
    </row>
    <row r="10" ht="25.5" customHeight="1">
      <c r="A10" s="11" t="inlineStr">
        <is>
          <t>D08</t>
        </is>
      </c>
      <c r="B10" s="11" t="inlineStr">
        <is>
          <t>Plant</t>
        </is>
      </c>
      <c r="C10" s="11" t="inlineStr">
        <is>
          <t>RMU protection relays</t>
        </is>
      </c>
      <c r="D10" s="11" t="inlineStr">
        <is>
          <t>Per RMU supplier</t>
        </is>
      </c>
      <c r="E10" s="11" t="inlineStr">
        <is>
          <t>ST260E</t>
        </is>
      </c>
      <c r="F10" s="11" t="inlineStr">
        <is>
          <t>-</t>
        </is>
      </c>
      <c r="G10" s="11" t="inlineStr">
        <is>
          <t>Existing (drawings)</t>
        </is>
      </c>
      <c r="H10" s="11" t="n">
        <v>2</v>
      </c>
      <c r="I10" s="11" t="inlineStr">
        <is>
          <t>President and PM stations</t>
        </is>
      </c>
      <c r="J10" s="11" t="inlineStr">
        <is>
          <t>RS485</t>
        </is>
      </c>
      <c r="K10" s="11" t="inlineStr">
        <is>
          <t>Modbus RTU, converted by MGate gateway</t>
        </is>
      </c>
      <c r="L10" s="11" t="inlineStr">
        <is>
          <t>Modbus RTU</t>
        </is>
      </c>
      <c r="M10" s="11" t="inlineStr">
        <is>
          <t>Rows 3, 4</t>
        </is>
      </c>
      <c r="N10" s="11" t="inlineStr">
        <is>
          <t>Confirm Modbus map with the RMU supplier.</t>
        </is>
      </c>
    </row>
    <row r="11" ht="25.5" customHeight="1">
      <c r="A11" s="11" t="inlineStr">
        <is>
          <t>D09</t>
        </is>
      </c>
      <c r="B11" s="11" t="inlineStr">
        <is>
          <t>Plant</t>
        </is>
      </c>
      <c r="C11" s="11" t="inlineStr">
        <is>
          <t>Transformers: inverter, DG step-up, 100 kVA auxiliary</t>
        </is>
      </c>
      <c r="D11" s="12" t="inlineStr">
        <is>
          <t>TBC</t>
        </is>
      </c>
      <c r="E11" s="11" t="inlineStr">
        <is>
          <t>-</t>
        </is>
      </c>
      <c r="F11" s="11" t="inlineStr">
        <is>
          <t>-</t>
        </is>
      </c>
      <c r="G11" s="12" t="inlineStr">
        <is>
          <t>TBC</t>
        </is>
      </c>
      <c r="H11" s="11" t="n">
        <v>3</v>
      </c>
      <c r="I11" s="11" t="inlineStr">
        <is>
          <t>Yard, generator area, switchroom</t>
        </is>
      </c>
      <c r="J11" s="11" t="inlineStr">
        <is>
          <t>Dry contacts</t>
        </is>
      </c>
      <c r="K11" s="11" t="inlineStr">
        <is>
          <t>Hardwired</t>
        </is>
      </c>
      <c r="L11" s="11" t="inlineStr">
        <is>
          <t>Hardwired</t>
        </is>
      </c>
      <c r="M11" s="11" t="inlineStr">
        <is>
          <t>Rows 5, 6, 2</t>
        </is>
      </c>
      <c r="N11" s="11" t="inlineStr">
        <is>
          <t>Each wired to the nearest I/O row: inverter to row 5, DG step-up to row 6, auxiliary to row 2. Auxiliary transformer also has its XRNT-3A fuse striker wired to row 2 (rev 1).</t>
        </is>
      </c>
    </row>
    <row r="12" ht="25.5" customHeight="1">
      <c r="A12" s="11" t="inlineStr">
        <is>
          <t>D10</t>
        </is>
      </c>
      <c r="B12" s="11" t="inlineStr">
        <is>
          <t>Plant</t>
        </is>
      </c>
      <c r="C12" s="11" t="inlineStr">
        <is>
          <t>Transformers 630 kVA, President and PM stations</t>
        </is>
      </c>
      <c r="D12" s="12" t="inlineStr">
        <is>
          <t>TBC</t>
        </is>
      </c>
      <c r="E12" s="11" t="inlineStr">
        <is>
          <t>-</t>
        </is>
      </c>
      <c r="F12" s="11" t="inlineStr">
        <is>
          <t>-</t>
        </is>
      </c>
      <c r="G12" s="12" t="inlineStr">
        <is>
          <t>TBC</t>
        </is>
      </c>
      <c r="H12" s="11" t="n">
        <v>2</v>
      </c>
      <c r="I12" s="11" t="inlineStr">
        <is>
          <t>Office stations</t>
        </is>
      </c>
      <c r="J12" s="11" t="inlineStr">
        <is>
          <t>Dry contacts</t>
        </is>
      </c>
      <c r="K12" s="11" t="inlineStr">
        <is>
          <t>Hardwired</t>
        </is>
      </c>
      <c r="L12" s="11" t="inlineStr">
        <is>
          <t>Hardwired</t>
        </is>
      </c>
      <c r="M12" s="11" t="inlineStr">
        <is>
          <t>Rows 3, 4</t>
        </is>
      </c>
      <c r="N12" s="11" t="n"/>
    </row>
    <row r="13" ht="25.5" customHeight="1">
      <c r="A13" s="11" t="inlineStr">
        <is>
          <t>D11</t>
        </is>
      </c>
      <c r="B13" s="11" t="inlineStr">
        <is>
          <t>Plant</t>
        </is>
      </c>
      <c r="C13" s="11" t="inlineStr">
        <is>
          <t>Low-voltage distribution boards, 10-way</t>
        </is>
      </c>
      <c r="D13" s="12" t="inlineStr">
        <is>
          <t>TBC</t>
        </is>
      </c>
      <c r="E13" s="11" t="inlineStr">
        <is>
          <t>-</t>
        </is>
      </c>
      <c r="F13" s="11" t="inlineStr">
        <is>
          <t>-</t>
        </is>
      </c>
      <c r="G13" s="12" t="inlineStr">
        <is>
          <t>TBC</t>
        </is>
      </c>
      <c r="H13" s="11" t="n">
        <v>2</v>
      </c>
      <c r="I13" s="11" t="inlineStr">
        <is>
          <t>Office stations</t>
        </is>
      </c>
      <c r="J13" s="11" t="inlineStr">
        <is>
          <t>Dry contacts + meter</t>
        </is>
      </c>
      <c r="K13" s="11" t="inlineStr">
        <is>
          <t>Hardwired; meter on Modbus TCP</t>
        </is>
      </c>
      <c r="L13" s="11" t="inlineStr">
        <is>
          <t>Hardwired</t>
        </is>
      </c>
      <c r="M13" s="11" t="inlineStr">
        <is>
          <t>Rows 3, 4</t>
        </is>
      </c>
      <c r="N13" s="11" t="n"/>
    </row>
    <row r="14" ht="25.5" customHeight="1">
      <c r="A14" s="11" t="inlineStr">
        <is>
          <t>D12</t>
        </is>
      </c>
      <c r="B14" s="11" t="inlineStr">
        <is>
          <t>Plant</t>
        </is>
      </c>
      <c r="C14" s="11" t="inlineStr">
        <is>
          <t>Fire detection and suppression panel</t>
        </is>
      </c>
      <c r="D14" s="12" t="inlineStr">
        <is>
          <t>TBC</t>
        </is>
      </c>
      <c r="E14" s="12" t="inlineStr">
        <is>
          <t>TBC</t>
        </is>
      </c>
      <c r="F14" s="12" t="inlineStr">
        <is>
          <t>TBC</t>
        </is>
      </c>
      <c r="G14" s="12" t="inlineStr">
        <is>
          <t>TBC</t>
        </is>
      </c>
      <c r="H14" s="11" t="n">
        <v>1</v>
      </c>
      <c r="I14" s="11" t="inlineStr">
        <is>
          <t>BESS area</t>
        </is>
      </c>
      <c r="J14" s="11" t="inlineStr">
        <is>
          <t>Dry contacts</t>
        </is>
      </c>
      <c r="K14" s="11" t="inlineStr">
        <is>
          <t>Hardwired</t>
        </is>
      </c>
      <c r="L14" s="11" t="inlineStr">
        <is>
          <t>Hardwired</t>
        </is>
      </c>
      <c r="M14" s="11" t="inlineStr">
        <is>
          <t>Row 5</t>
        </is>
      </c>
      <c r="N14" s="11" t="inlineStr">
        <is>
          <t>Also a direct hardwired trip to the battery, outside the SCADA.</t>
        </is>
      </c>
    </row>
    <row r="15">
      <c r="A15" s="11" t="inlineStr">
        <is>
          <t>D13</t>
        </is>
      </c>
      <c r="B15" s="11" t="inlineStr">
        <is>
          <t>Plant</t>
        </is>
      </c>
      <c r="C15" s="11" t="inlineStr">
        <is>
          <t>UPS and auxiliary DC supplies</t>
        </is>
      </c>
      <c r="D15" s="12" t="inlineStr">
        <is>
          <t>TBC</t>
        </is>
      </c>
      <c r="E15" s="12" t="inlineStr">
        <is>
          <t>TBC</t>
        </is>
      </c>
      <c r="F15" s="12" t="inlineStr">
        <is>
          <t>TBC</t>
        </is>
      </c>
      <c r="G15" s="12" t="inlineStr">
        <is>
          <t>TBC</t>
        </is>
      </c>
      <c r="H15" s="11" t="n">
        <v>1</v>
      </c>
      <c r="I15" s="11" t="inlineStr">
        <is>
          <t>11 kV switchroom</t>
        </is>
      </c>
      <c r="J15" s="11" t="inlineStr">
        <is>
          <t>Ethernet or dry contacts</t>
        </is>
      </c>
      <c r="K15" s="11" t="inlineStr">
        <is>
          <t>Modbus TCP or SNMP, plus contacts</t>
        </is>
      </c>
      <c r="L15" s="11" t="inlineStr">
        <is>
          <t>Modbus TCP</t>
        </is>
      </c>
      <c r="M15" s="11" t="inlineStr">
        <is>
          <t>Row 2</t>
        </is>
      </c>
      <c r="N15" s="11" t="n"/>
    </row>
    <row r="16" ht="25.5" customHeight="1">
      <c r="A16" s="11" t="inlineStr">
        <is>
          <t>D14</t>
        </is>
      </c>
      <c r="B16" s="11" t="inlineStr">
        <is>
          <t>Plant</t>
        </is>
      </c>
      <c r="C16" s="11" t="inlineStr">
        <is>
          <t>Weather station data logger</t>
        </is>
      </c>
      <c r="D16" s="11" t="inlineStr">
        <is>
          <t>Meteocontrol</t>
        </is>
      </c>
      <c r="E16" s="11" t="inlineStr">
        <is>
          <t>blue'Log XM with Multi I/O and Fieldbus Ext</t>
        </is>
      </c>
      <c r="F16" s="11" t="inlineStr">
        <is>
          <t>-</t>
        </is>
      </c>
      <c r="G16" s="11" t="inlineStr">
        <is>
          <t>Existing (drawings)</t>
        </is>
      </c>
      <c r="H16" s="11" t="n">
        <v>1</v>
      </c>
      <c r="I16" s="11" t="inlineStr">
        <is>
          <t>Inverter MV station</t>
        </is>
      </c>
      <c r="J16" s="11" t="inlineStr">
        <is>
          <t>Ethernet RJ45</t>
        </is>
      </c>
      <c r="K16" s="11" t="inlineStr">
        <is>
          <t>Modbus TCP</t>
        </is>
      </c>
      <c r="L16" s="11" t="inlineStr">
        <is>
          <t>Modbus TCP</t>
        </is>
      </c>
      <c r="M16" s="11" t="inlineStr">
        <is>
          <t>-</t>
        </is>
      </c>
      <c r="N16" s="11" t="inlineStr">
        <is>
          <t>Collects the sensors below.</t>
        </is>
      </c>
    </row>
    <row r="17">
      <c r="A17" s="11" t="inlineStr">
        <is>
          <t>D15</t>
        </is>
      </c>
      <c r="B17" s="11" t="inlineStr">
        <is>
          <t>Plant</t>
        </is>
      </c>
      <c r="C17" s="11" t="inlineStr">
        <is>
          <t>Pyranometer</t>
        </is>
      </c>
      <c r="D17" s="11" t="inlineStr">
        <is>
          <t>Kipp &amp; Zonen</t>
        </is>
      </c>
      <c r="E17" s="11" t="inlineStr">
        <is>
          <t>SMP12-A</t>
        </is>
      </c>
      <c r="F17" s="11" t="inlineStr">
        <is>
          <t>-</t>
        </is>
      </c>
      <c r="G17" s="11" t="inlineStr">
        <is>
          <t>Existing (drawings)</t>
        </is>
      </c>
      <c r="H17" s="11" t="n">
        <v>1</v>
      </c>
      <c r="I17" s="11" t="inlineStr">
        <is>
          <t>Weather mast</t>
        </is>
      </c>
      <c r="J17" s="11" t="inlineStr">
        <is>
          <t>RS485 to logger</t>
        </is>
      </c>
      <c r="K17" s="11" t="inlineStr">
        <is>
          <t>Through the blue'Log</t>
        </is>
      </c>
      <c r="L17" s="11" t="inlineStr">
        <is>
          <t>Through logger</t>
        </is>
      </c>
      <c r="M17" s="11" t="inlineStr">
        <is>
          <t>-</t>
        </is>
      </c>
      <c r="N17" s="11" t="n"/>
    </row>
    <row r="18">
      <c r="A18" s="11" t="inlineStr">
        <is>
          <t>D16</t>
        </is>
      </c>
      <c r="B18" s="11" t="inlineStr">
        <is>
          <t>Plant</t>
        </is>
      </c>
      <c r="C18" s="11" t="inlineStr">
        <is>
          <t>Wind sensor</t>
        </is>
      </c>
      <c r="D18" s="11" t="inlineStr">
        <is>
          <t>Gill Instruments</t>
        </is>
      </c>
      <c r="E18" s="11" t="inlineStr">
        <is>
          <t>WindSonic RS485</t>
        </is>
      </c>
      <c r="F18" s="11" t="inlineStr">
        <is>
          <t>-</t>
        </is>
      </c>
      <c r="G18" s="11" t="inlineStr">
        <is>
          <t>Existing (drawings)</t>
        </is>
      </c>
      <c r="H18" s="11" t="n">
        <v>1</v>
      </c>
      <c r="I18" s="11" t="inlineStr">
        <is>
          <t>Weather mast</t>
        </is>
      </c>
      <c r="J18" s="11" t="inlineStr">
        <is>
          <t>RS485 to logger</t>
        </is>
      </c>
      <c r="K18" s="11" t="inlineStr">
        <is>
          <t>Through the blue'Log</t>
        </is>
      </c>
      <c r="L18" s="11" t="inlineStr">
        <is>
          <t>Through logger</t>
        </is>
      </c>
      <c r="M18" s="11" t="inlineStr">
        <is>
          <t>-</t>
        </is>
      </c>
      <c r="N18" s="11" t="n"/>
    </row>
    <row r="19" ht="25.5" customHeight="1">
      <c r="A19" s="11" t="inlineStr">
        <is>
          <t>D17</t>
        </is>
      </c>
      <c r="B19" s="11" t="inlineStr">
        <is>
          <t>Plant</t>
        </is>
      </c>
      <c r="C19" s="11" t="inlineStr">
        <is>
          <t>Ambient and module temperature sensors</t>
        </is>
      </c>
      <c r="D19" s="12" t="inlineStr">
        <is>
          <t>TBC</t>
        </is>
      </c>
      <c r="E19" s="11" t="inlineStr">
        <is>
          <t>-</t>
        </is>
      </c>
      <c r="F19" s="11" t="inlineStr">
        <is>
          <t>-</t>
        </is>
      </c>
      <c r="G19" s="11" t="inlineStr">
        <is>
          <t>Existing (drawings)</t>
        </is>
      </c>
      <c r="H19" s="11" t="n">
        <v>2</v>
      </c>
      <c r="I19" s="11" t="inlineStr">
        <is>
          <t>Weather mast / PV array</t>
        </is>
      </c>
      <c r="J19" s="11" t="inlineStr">
        <is>
          <t>Analogue to logger</t>
        </is>
      </c>
      <c r="K19" s="11" t="inlineStr">
        <is>
          <t>Through the blue'Log</t>
        </is>
      </c>
      <c r="L19" s="11" t="inlineStr">
        <is>
          <t>Through logger</t>
        </is>
      </c>
      <c r="M19" s="11" t="inlineStr">
        <is>
          <t>-</t>
        </is>
      </c>
      <c r="N19" s="11" t="n"/>
    </row>
    <row r="20">
      <c r="A20" s="11" t="inlineStr">
        <is>
          <t>D49</t>
        </is>
      </c>
      <c r="B20" s="11" t="inlineStr">
        <is>
          <t>Plant</t>
        </is>
      </c>
      <c r="C20" s="11" t="inlineStr">
        <is>
          <t>LV main breakers: PV ACB 1250 A, BESS ACB 1000 A, DG step-up LV ACB; inverter AC MCCBs 400 A</t>
        </is>
      </c>
      <c r="D20" s="12" t="inlineStr">
        <is>
          <t>TBC (switchboard supplier)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Existing (drawings)</t>
        </is>
      </c>
      <c r="H20" s="11" t="n">
        <v>3</v>
      </c>
      <c r="I20" s="11" t="inlineStr">
        <is>
          <t>Inverter MV station, BESS area, generator area</t>
        </is>
      </c>
      <c r="J20" s="11" t="inlineStr">
        <is>
          <t>Dry contacts</t>
        </is>
      </c>
      <c r="K20" s="11" t="inlineStr">
        <is>
          <t>Hardwired</t>
        </is>
      </c>
      <c r="L20" s="11" t="inlineStr">
        <is>
          <t>Hardwired</t>
        </is>
      </c>
      <c r="M20" s="11" t="inlineStr">
        <is>
          <t>Rows 5, 6</t>
        </is>
      </c>
      <c r="N20" s="11" t="inlineStr">
        <is>
          <t>Added rev 1. Position and trip of each main breaker; trip of the four inverter MCCBs (row 5).</t>
        </is>
      </c>
    </row>
    <row r="21">
      <c r="A21" s="11" t="inlineStr">
        <is>
          <t>D50</t>
        </is>
      </c>
      <c r="B21" s="11" t="inlineStr">
        <is>
          <t>Plant</t>
        </is>
      </c>
      <c r="C21" s="11" t="inlineStr">
        <is>
          <t>RMU UPS 2 kVA, 220 V AC</t>
        </is>
      </c>
      <c r="D21" s="12" t="inlineStr">
        <is>
          <t>TBC (RMU supplier)</t>
        </is>
      </c>
      <c r="E21" s="11" t="inlineStr">
        <is>
          <t>-</t>
        </is>
      </c>
      <c r="F21" s="11" t="inlineStr">
        <is>
          <t>-</t>
        </is>
      </c>
      <c r="G21" s="11" t="inlineStr">
        <is>
          <t>Existing (drawings)</t>
        </is>
      </c>
      <c r="H21" s="11" t="n">
        <v>2</v>
      </c>
      <c r="I21" s="11" t="inlineStr">
        <is>
          <t>President and PM stations</t>
        </is>
      </c>
      <c r="J21" s="11" t="inlineStr">
        <is>
          <t>Dry contacts</t>
        </is>
      </c>
      <c r="K21" s="11" t="inlineStr">
        <is>
          <t>Hardwired</t>
        </is>
      </c>
      <c r="L21" s="11" t="inlineStr">
        <is>
          <t>Hardwired</t>
        </is>
      </c>
      <c r="M21" s="11" t="inlineStr">
        <is>
          <t>Rows 3, 4</t>
        </is>
      </c>
      <c r="N21" s="11" t="inlineStr">
        <is>
          <t>Added rev 1. On battery and fault contacts.</t>
        </is>
      </c>
    </row>
    <row r="22" ht="25.5" customHeight="1">
      <c r="A22" s="9" t="inlineStr">
        <is>
          <t>B. SICAM A8000 controller and I/O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11" t="inlineStr">
        <is>
          <t>D18</t>
        </is>
      </c>
      <c r="B23" s="11" t="inlineStr">
        <is>
          <t>Controller</t>
        </is>
      </c>
      <c r="C23" s="11" t="inlineStr">
        <is>
          <t>Processor module</t>
        </is>
      </c>
      <c r="D23" s="11" t="inlineStr">
        <is>
          <t>Siemens</t>
        </is>
      </c>
      <c r="E23" s="11" t="inlineStr">
        <is>
          <t>CP-8050</t>
        </is>
      </c>
      <c r="F23" s="11" t="inlineStr">
        <is>
          <t>6MF2805-0AA00</t>
        </is>
      </c>
      <c r="G23" s="11" t="inlineStr">
        <is>
          <t>Checked</t>
        </is>
      </c>
      <c r="H23" s="11" t="n">
        <v>1</v>
      </c>
      <c r="I23" s="11" t="inlineStr">
        <is>
          <t>11 kV switchroom</t>
        </is>
      </c>
      <c r="J23" s="11" t="inlineStr">
        <is>
          <t>2 x RJ45</t>
        </is>
      </c>
      <c r="K23" s="11" t="inlineStr">
        <is>
          <t>Gateway for all protocols</t>
        </is>
      </c>
      <c r="L23" s="11" t="inlineStr">
        <is>
          <t>IEC 60870-5-104</t>
        </is>
      </c>
      <c r="M23" s="11" t="inlineStr">
        <is>
          <t>-</t>
        </is>
      </c>
      <c r="N23" s="11" t="inlineStr">
        <is>
          <t>To SCADA servers A and B.</t>
        </is>
      </c>
    </row>
    <row r="24">
      <c r="A24" s="11" t="inlineStr">
        <is>
          <t>D19</t>
        </is>
      </c>
      <c r="B24" s="11" t="inlineStr">
        <is>
          <t>Controller</t>
        </is>
      </c>
      <c r="C24" s="11" t="inlineStr">
        <is>
          <t>Power supply, 100 to 240 V DC/AC, 45 W</t>
        </is>
      </c>
      <c r="D24" s="11" t="inlineStr">
        <is>
          <t>Siemens</t>
        </is>
      </c>
      <c r="E24" s="11" t="inlineStr">
        <is>
          <t>PS-8642</t>
        </is>
      </c>
      <c r="F24" s="11" t="inlineStr">
        <is>
          <t>6MF2864-2AA00</t>
        </is>
      </c>
      <c r="G24" s="11" t="inlineStr">
        <is>
          <t>Checked</t>
        </is>
      </c>
      <c r="H24" s="11" t="n">
        <v>2</v>
      </c>
      <c r="I24" s="11" t="inlineStr">
        <is>
          <t>11 kV switchroom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N/A</t>
        </is>
      </c>
      <c r="M24" s="11" t="inlineStr">
        <is>
          <t>-</t>
        </is>
      </c>
      <c r="N24" s="11" t="inlineStr">
        <is>
          <t>Two for redundancy; confirm the CP-8050 supports a second supply.</t>
        </is>
      </c>
    </row>
    <row r="25" ht="38.25" customHeight="1">
      <c r="A25" s="11" t="inlineStr">
        <is>
          <t>D20</t>
        </is>
      </c>
      <c r="B25" s="11" t="inlineStr">
        <is>
          <t>Controller</t>
        </is>
      </c>
      <c r="C25" s="11" t="inlineStr">
        <is>
          <t>Ethernet interface, 5 x RJ45</t>
        </is>
      </c>
      <c r="D25" s="11" t="inlineStr">
        <is>
          <t>Siemens</t>
        </is>
      </c>
      <c r="E25" s="11" t="inlineStr">
        <is>
          <t>CI-8520</t>
        </is>
      </c>
      <c r="F25" s="11" t="inlineStr">
        <is>
          <t>6MF2852-0AA00</t>
        </is>
      </c>
      <c r="G25" s="11" t="inlineStr">
        <is>
          <t>Checked</t>
        </is>
      </c>
      <c r="H25" s="11" t="n">
        <v>1</v>
      </c>
      <c r="I25" s="11" t="inlineStr">
        <is>
          <t>11 kV switchroom</t>
        </is>
      </c>
      <c r="J25" s="11" t="inlineStr">
        <is>
          <t>5 x RJ45</t>
        </is>
      </c>
      <c r="K25" s="11" t="inlineStr">
        <is>
          <t>Separate ports per network zone</t>
        </is>
      </c>
      <c r="L25" s="11" t="inlineStr">
        <is>
          <t>N/A</t>
        </is>
      </c>
      <c r="M25" s="11" t="inlineStr">
        <is>
          <t>-</t>
        </is>
      </c>
      <c r="N25" s="11" t="inlineStr">
        <is>
          <t>Not a managed switch.</t>
        </is>
      </c>
    </row>
    <row r="26" ht="25.5" customHeight="1">
      <c r="A26" s="11" t="inlineStr">
        <is>
          <t>D21</t>
        </is>
      </c>
      <c r="B26" s="11" t="inlineStr">
        <is>
          <t>Controller</t>
        </is>
      </c>
      <c r="C26" s="11" t="inlineStr">
        <is>
          <t>Flash card, 2 GB</t>
        </is>
      </c>
      <c r="D26" s="11" t="inlineStr">
        <is>
          <t>Siemens</t>
        </is>
      </c>
      <c r="E26" s="11" t="inlineStr">
        <is>
          <t>SICAM flash card</t>
        </is>
      </c>
      <c r="F26" s="11" t="inlineStr">
        <is>
          <t>6MF1213-1GA05-0AA0</t>
        </is>
      </c>
      <c r="G26" s="11" t="inlineStr">
        <is>
          <t>Checked</t>
        </is>
      </c>
      <c r="H26" s="11" t="n">
        <v>1</v>
      </c>
      <c r="I26" s="11" t="inlineStr">
        <is>
          <t>11 kV switchroom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N/A</t>
        </is>
      </c>
      <c r="M26" s="11" t="inlineStr">
        <is>
          <t>-</t>
        </is>
      </c>
      <c r="N26" s="11" t="n"/>
    </row>
    <row r="27" ht="25.5" customHeight="1">
      <c r="A27" s="11" t="inlineStr">
        <is>
          <t>D22</t>
        </is>
      </c>
      <c r="B27" s="11" t="inlineStr">
        <is>
          <t>I/O</t>
        </is>
      </c>
      <c r="C27" s="11" t="inlineStr">
        <is>
          <t>Digital input, 2 x 8 inputs</t>
        </is>
      </c>
      <c r="D27" s="11" t="inlineStr">
        <is>
          <t>Siemens</t>
        </is>
      </c>
      <c r="E27" s="11" t="inlineStr">
        <is>
          <t>DI-8112</t>
        </is>
      </c>
      <c r="F27" s="11" t="inlineStr">
        <is>
          <t>6MF2811-2AA00</t>
        </is>
      </c>
      <c r="G27" s="11" t="inlineStr">
        <is>
          <t>Checked</t>
        </is>
      </c>
      <c r="H27" s="11" t="n">
        <v>17</v>
      </c>
      <c r="I27" s="11" t="inlineStr">
        <is>
          <t>Rows 1 to 6</t>
        </is>
      </c>
      <c r="J27" s="11" t="inlineStr">
        <is>
          <t>Terminal</t>
        </is>
      </c>
      <c r="K27" s="11" t="inlineStr">
        <is>
          <t>SICAM I/O link</t>
        </is>
      </c>
      <c r="L27" s="11" t="inlineStr">
        <is>
          <t>SICAM I/O link</t>
        </is>
      </c>
      <c r="M27" s="11" t="inlineStr">
        <is>
          <t>Rows 1-6</t>
        </is>
      </c>
      <c r="N27" s="11" t="inlineStr">
        <is>
          <t>Confirm DI-8112 is the 110 V DC variant. 24 V: DI-8110, 6MF2811-0AA00. 220 V: DI-8113, 6MF2811-3AA00.</t>
        </is>
      </c>
    </row>
    <row r="28" ht="25.5" customHeight="1">
      <c r="A28" s="11" t="inlineStr">
        <is>
          <t>D23</t>
        </is>
      </c>
      <c r="B28" s="11" t="inlineStr">
        <is>
          <t>I/O</t>
        </is>
      </c>
      <c r="C28" s="11" t="inlineStr">
        <is>
          <t>Secured command output, 12 outputs</t>
        </is>
      </c>
      <c r="D28" s="11" t="inlineStr">
        <is>
          <t>Siemens</t>
        </is>
      </c>
      <c r="E28" s="11" t="inlineStr">
        <is>
          <t>DO-8221</t>
        </is>
      </c>
      <c r="F28" s="12" t="inlineStr">
        <is>
          <t>To confirm</t>
        </is>
      </c>
      <c r="G28" s="12" t="inlineStr">
        <is>
          <t>To confirm with supplier</t>
        </is>
      </c>
      <c r="H28" s="11" t="n">
        <v>4</v>
      </c>
      <c r="I28" s="11" t="inlineStr">
        <is>
          <t>Rows 1, 3, 4</t>
        </is>
      </c>
      <c r="J28" s="11" t="inlineStr">
        <is>
          <t>Terminal</t>
        </is>
      </c>
      <c r="K28" s="11" t="inlineStr">
        <is>
          <t>SICAM I/O link</t>
        </is>
      </c>
      <c r="L28" s="11" t="inlineStr">
        <is>
          <t>SICAM I/O link</t>
        </is>
      </c>
      <c r="M28" s="11" t="inlineStr">
        <is>
          <t>Rows 1, 3, 4</t>
        </is>
      </c>
      <c r="N28" s="11" t="inlineStr">
        <is>
          <t>Breaker open and close with 1-out-of-n check.</t>
        </is>
      </c>
    </row>
    <row r="29" ht="25.5" customHeight="1">
      <c r="A29" s="11" t="inlineStr">
        <is>
          <t>D24</t>
        </is>
      </c>
      <c r="B29" s="11" t="inlineStr">
        <is>
          <t>I/O</t>
        </is>
      </c>
      <c r="C29" s="11" t="inlineStr">
        <is>
          <t>Digital output, 8 relays, 24-220 V DC / 230 V AC</t>
        </is>
      </c>
      <c r="D29" s="11" t="inlineStr">
        <is>
          <t>Siemens</t>
        </is>
      </c>
      <c r="E29" s="11" t="inlineStr">
        <is>
          <t>DO-8212</t>
        </is>
      </c>
      <c r="F29" s="11" t="inlineStr">
        <is>
          <t>6MF2821-2AA00</t>
        </is>
      </c>
      <c r="G29" s="11" t="inlineStr">
        <is>
          <t>Checked</t>
        </is>
      </c>
      <c r="H29" s="11" t="n">
        <v>1</v>
      </c>
      <c r="I29" s="11" t="inlineStr">
        <is>
          <t>Row 1</t>
        </is>
      </c>
      <c r="J29" s="11" t="inlineStr">
        <is>
          <t>Terminal</t>
        </is>
      </c>
      <c r="K29" s="11" t="inlineStr">
        <is>
          <t>SICAM I/O link</t>
        </is>
      </c>
      <c r="L29" s="11" t="inlineStr">
        <is>
          <t>SICAM I/O link</t>
        </is>
      </c>
      <c r="M29" s="11" t="inlineStr">
        <is>
          <t>Row 1</t>
        </is>
      </c>
      <c r="N29" s="11" t="inlineStr">
        <is>
          <t>Alarm beacon and controller healthy output.</t>
        </is>
      </c>
    </row>
    <row r="30" ht="51" customHeight="1">
      <c r="A30" s="11" t="inlineStr">
        <is>
          <t>D25</t>
        </is>
      </c>
      <c r="B30" s="11" t="inlineStr">
        <is>
          <t>I/O</t>
        </is>
      </c>
      <c r="C30" s="11" t="inlineStr">
        <is>
          <t>Analogue input, 4 x +/-20 mA or +/-10 V</t>
        </is>
      </c>
      <c r="D30" s="11" t="inlineStr">
        <is>
          <t>Siemens</t>
        </is>
      </c>
      <c r="E30" s="11" t="inlineStr">
        <is>
          <t>AI-8320</t>
        </is>
      </c>
      <c r="F30" s="11" t="inlineStr">
        <is>
          <t>6MF2832-0AA00</t>
        </is>
      </c>
      <c r="G30" s="11" t="inlineStr">
        <is>
          <t>Checked</t>
        </is>
      </c>
      <c r="H30" s="11" t="n">
        <v>2</v>
      </c>
      <c r="I30" s="11" t="inlineStr">
        <is>
          <t>Rows 2, 6</t>
        </is>
      </c>
      <c r="J30" s="11" t="inlineStr">
        <is>
          <t>Terminal</t>
        </is>
      </c>
      <c r="K30" s="11" t="inlineStr">
        <is>
          <t>SICAM I/O link</t>
        </is>
      </c>
      <c r="L30" s="11" t="inlineStr">
        <is>
          <t>SICAM I/O link</t>
        </is>
      </c>
      <c r="M30" s="11" t="inlineStr">
        <is>
          <t>Rows 2, 6</t>
        </is>
      </c>
      <c r="N30" s="11" t="inlineStr">
        <is>
          <t>Row 2: DC bus voltages. Row 6: generator fuel levels.</t>
        </is>
      </c>
    </row>
    <row r="31" ht="25.5" customHeight="1">
      <c r="A31" s="11" t="inlineStr">
        <is>
          <t>D26</t>
        </is>
      </c>
      <c r="B31" s="11" t="inlineStr">
        <is>
          <t>I/O</t>
        </is>
      </c>
      <c r="C31" s="11" t="inlineStr">
        <is>
          <t>I/O remote interface, electrical, 110-220 V DC</t>
        </is>
      </c>
      <c r="D31" s="11" t="inlineStr">
        <is>
          <t>Siemens</t>
        </is>
      </c>
      <c r="E31" s="11" t="inlineStr">
        <is>
          <t>CI-8532</t>
        </is>
      </c>
      <c r="F31" s="11" t="inlineStr">
        <is>
          <t>6MF2853-2AA00</t>
        </is>
      </c>
      <c r="G31" s="11" t="inlineStr">
        <is>
          <t>Checked</t>
        </is>
      </c>
      <c r="H31" s="11" t="n">
        <v>1</v>
      </c>
      <c r="I31" s="11" t="inlineStr">
        <is>
          <t>Row 2</t>
        </is>
      </c>
      <c r="J31" s="11" t="inlineStr">
        <is>
          <t>Copper</t>
        </is>
      </c>
      <c r="K31" s="11" t="inlineStr">
        <is>
          <t>SICAM I/O link</t>
        </is>
      </c>
      <c r="L31" s="11" t="inlineStr">
        <is>
          <t>SICAM I/O link</t>
        </is>
      </c>
      <c r="M31" s="11" t="inlineStr">
        <is>
          <t>Row 2</t>
        </is>
      </c>
      <c r="N31" s="11" t="inlineStr">
        <is>
          <t>24 V variant: CI-8530, 6MF2853-0AA00.</t>
        </is>
      </c>
    </row>
    <row r="32">
      <c r="A32" s="11" t="inlineStr">
        <is>
          <t>D27</t>
        </is>
      </c>
      <c r="B32" s="11" t="inlineStr">
        <is>
          <t>I/O</t>
        </is>
      </c>
      <c r="C32" s="11" t="inlineStr">
        <is>
          <t>I/O remote interface, optical, 110-220 V DC</t>
        </is>
      </c>
      <c r="D32" s="11" t="inlineStr">
        <is>
          <t>Siemens</t>
        </is>
      </c>
      <c r="E32" s="11" t="inlineStr">
        <is>
          <t>CI-8533</t>
        </is>
      </c>
      <c r="F32" s="12" t="inlineStr">
        <is>
          <t>To confirm</t>
        </is>
      </c>
      <c r="G32" s="12" t="inlineStr">
        <is>
          <t>To confirm with supplier</t>
        </is>
      </c>
      <c r="H32" s="11" t="n">
        <v>4</v>
      </c>
      <c r="I32" s="11" t="inlineStr">
        <is>
          <t>Rows 3 to 6</t>
        </is>
      </c>
      <c r="J32" s="11" t="inlineStr">
        <is>
          <t>Fibre</t>
        </is>
      </c>
      <c r="K32" s="11" t="inlineStr">
        <is>
          <t>SICAM I/O link, optical</t>
        </is>
      </c>
      <c r="L32" s="11" t="inlineStr">
        <is>
          <t>SICAM I/O link</t>
        </is>
      </c>
      <c r="M32" s="11" t="inlineStr">
        <is>
          <t>Rows 3-6</t>
        </is>
      </c>
      <c r="N32" s="11" t="inlineStr">
        <is>
          <t>One per remote row: President, Prime Minister, BESS yard, generator area. Confirm fibre type and maximum length. Within about 100 m of the switchroom, CI-8532 on copper may be used instead. 24 V variant: CI-8531.</t>
        </is>
      </c>
    </row>
    <row r="33" ht="25.5" customHeight="1">
      <c r="A33" s="11" t="inlineStr">
        <is>
          <t>D28</t>
        </is>
      </c>
      <c r="B33" s="11" t="inlineStr">
        <is>
          <t>I/O</t>
        </is>
      </c>
      <c r="C33" s="11" t="inlineStr">
        <is>
          <t>Protocol licences: IEC 104, Modbus TCP client, IEC 61850 client</t>
        </is>
      </c>
      <c r="D33" s="11" t="inlineStr">
        <is>
          <t>Siemens</t>
        </is>
      </c>
      <c r="E33" s="11" t="inlineStr">
        <is>
          <t>For CP-8050</t>
        </is>
      </c>
      <c r="F33" s="11" t="inlineStr">
        <is>
          <t>By quotation</t>
        </is>
      </c>
      <c r="G33" s="12" t="inlineStr">
        <is>
          <t>To confirm with supplier</t>
        </is>
      </c>
      <c r="H33" s="11" t="n">
        <v>1</v>
      </c>
      <c r="I33" s="11" t="inlineStr">
        <is>
          <t>-</t>
        </is>
      </c>
      <c r="J33" s="11" t="inlineStr">
        <is>
          <t>-</t>
        </is>
      </c>
      <c r="K33" s="11" t="inlineStr">
        <is>
          <t>-</t>
        </is>
      </c>
      <c r="L33" s="11" t="inlineStr">
        <is>
          <t>N/A</t>
        </is>
      </c>
      <c r="M33" s="11" t="inlineStr">
        <is>
          <t>-</t>
        </is>
      </c>
      <c r="N33" s="11" t="n"/>
    </row>
    <row r="34" ht="38.25" customHeight="1">
      <c r="A34" s="9" t="inlineStr">
        <is>
          <t>C. Network, time and security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25.5" customHeight="1">
      <c r="A35" s="11" t="inlineStr">
        <is>
          <t>D29</t>
        </is>
      </c>
      <c r="B35" s="11" t="inlineStr">
        <is>
          <t>Network</t>
        </is>
      </c>
      <c r="C35" s="11" t="inlineStr">
        <is>
          <t>Core switch, managed, gigabit, SFP</t>
        </is>
      </c>
      <c r="D35" s="11" t="inlineStr">
        <is>
          <t>Moxa</t>
        </is>
      </c>
      <c r="E35" s="11" t="inlineStr">
        <is>
          <t>EDS-G512E</t>
        </is>
      </c>
      <c r="F35" s="11" t="inlineStr">
        <is>
          <t>EDS-G512E-4GSFP</t>
        </is>
      </c>
      <c r="G35" s="11" t="inlineStr">
        <is>
          <t>From memory - confirm</t>
        </is>
      </c>
      <c r="H35" s="11" t="n">
        <v>2</v>
      </c>
      <c r="I35" s="11" t="inlineStr">
        <is>
          <t>11 kV switchroom</t>
        </is>
      </c>
      <c r="J35" s="11" t="inlineStr">
        <is>
          <t>RJ45 + SFP</t>
        </is>
      </c>
      <c r="K35" s="11" t="inlineStr">
        <is>
          <t>Ethernet, VLANs, ring</t>
        </is>
      </c>
      <c r="L35" s="11" t="inlineStr">
        <is>
          <t>N/A</t>
        </is>
      </c>
      <c r="M35" s="11" t="inlineStr">
        <is>
          <t>-</t>
        </is>
      </c>
      <c r="N35" s="11" t="inlineStr">
        <is>
          <t>Core switch A and B.</t>
        </is>
      </c>
    </row>
    <row r="36" ht="25.5" customHeight="1">
      <c r="A36" s="11" t="inlineStr">
        <is>
          <t>D30</t>
        </is>
      </c>
      <c r="B36" s="11" t="inlineStr">
        <is>
          <t>Network</t>
        </is>
      </c>
      <c r="C36" s="11" t="inlineStr">
        <is>
          <t>Field and station switch, managed, SFP</t>
        </is>
      </c>
      <c r="D36" s="11" t="inlineStr">
        <is>
          <t>Moxa</t>
        </is>
      </c>
      <c r="E36" s="11" t="inlineStr">
        <is>
          <t>EDS-510E</t>
        </is>
      </c>
      <c r="F36" s="11" t="inlineStr">
        <is>
          <t>EDS-510E-3GTXSFP</t>
        </is>
      </c>
      <c r="G36" s="11" t="inlineStr">
        <is>
          <t>From memory - confirm</t>
        </is>
      </c>
      <c r="H36" s="11" t="n">
        <v>5</v>
      </c>
      <c r="I36" s="11" t="inlineStr">
        <is>
          <t>MV station, BESS, generators, 2 office stations</t>
        </is>
      </c>
      <c r="J36" s="11" t="inlineStr">
        <is>
          <t>RJ45 + SFP</t>
        </is>
      </c>
      <c r="K36" s="11" t="inlineStr">
        <is>
          <t>Ethernet, ring</t>
        </is>
      </c>
      <c r="L36" s="11" t="inlineStr">
        <is>
          <t>N/A</t>
        </is>
      </c>
      <c r="M36" s="11" t="inlineStr">
        <is>
          <t>-</t>
        </is>
      </c>
      <c r="N36" s="11" t="inlineStr">
        <is>
          <t>Replaces the unmanaged switch on the existing sheet.</t>
        </is>
      </c>
    </row>
    <row r="37" ht="25.5" customHeight="1">
      <c r="A37" s="11" t="inlineStr">
        <is>
          <t>D31</t>
        </is>
      </c>
      <c r="B37" s="11" t="inlineStr">
        <is>
          <t>Network</t>
        </is>
      </c>
      <c r="C37" s="11" t="inlineStr">
        <is>
          <t>Fibre transceiver, single-mode, gigabit</t>
        </is>
      </c>
      <c r="D37" s="11" t="inlineStr">
        <is>
          <t>Moxa</t>
        </is>
      </c>
      <c r="E37" s="11" t="inlineStr">
        <is>
          <t>SFP-1GLXLC</t>
        </is>
      </c>
      <c r="F37" s="11" t="inlineStr">
        <is>
          <t>SFP-1GLXLC</t>
        </is>
      </c>
      <c r="G37" s="11" t="inlineStr">
        <is>
          <t>From memory - confirm</t>
        </is>
      </c>
      <c r="H37" s="11" t="n">
        <v>14</v>
      </c>
      <c r="I37" s="11" t="inlineStr">
        <is>
          <t>All switches</t>
        </is>
      </c>
      <c r="J37" s="11" t="inlineStr">
        <is>
          <t>LC fibre</t>
        </is>
      </c>
      <c r="K37" s="11" t="inlineStr">
        <is>
          <t>-</t>
        </is>
      </c>
      <c r="L37" s="11" t="inlineStr">
        <is>
          <t>N/A</t>
        </is>
      </c>
      <c r="M37" s="11" t="inlineStr">
        <is>
          <t>-</t>
        </is>
      </c>
      <c r="N37" s="11" t="inlineStr">
        <is>
          <t>7-switch ring, 2 per link.</t>
        </is>
      </c>
    </row>
    <row r="38" ht="25.5" customHeight="1">
      <c r="A38" s="11" t="inlineStr">
        <is>
          <t>D32</t>
        </is>
      </c>
      <c r="B38" s="11" t="inlineStr">
        <is>
          <t>Network</t>
        </is>
      </c>
      <c r="C38" s="11" t="inlineStr">
        <is>
          <t>Serial to Ethernet gateway</t>
        </is>
      </c>
      <c r="D38" s="11" t="inlineStr">
        <is>
          <t>Moxa</t>
        </is>
      </c>
      <c r="E38" s="11" t="inlineStr">
        <is>
          <t>MGate MB3170</t>
        </is>
      </c>
      <c r="F38" s="11" t="inlineStr">
        <is>
          <t>MB3170</t>
        </is>
      </c>
      <c r="G38" s="11" t="inlineStr">
        <is>
          <t>From memory - confirm</t>
        </is>
      </c>
      <c r="H38" s="11" t="n">
        <v>2</v>
      </c>
      <c r="I38" s="11" t="inlineStr">
        <is>
          <t>Office stations</t>
        </is>
      </c>
      <c r="J38" s="11" t="inlineStr">
        <is>
          <t>RS485 + RJ45</t>
        </is>
      </c>
      <c r="K38" s="11" t="inlineStr">
        <is>
          <t>Modbus RTU to Modbus TCP</t>
        </is>
      </c>
      <c r="L38" s="11" t="inlineStr">
        <is>
          <t>Modbus TCP</t>
        </is>
      </c>
      <c r="M38" s="11" t="inlineStr">
        <is>
          <t>-</t>
        </is>
      </c>
      <c r="N38" s="11" t="inlineStr">
        <is>
          <t>Add one more if the generator controllers are RS485 only.</t>
        </is>
      </c>
    </row>
    <row r="39" ht="38.25" customHeight="1">
      <c r="A39" s="11" t="inlineStr">
        <is>
          <t>D33</t>
        </is>
      </c>
      <c r="B39" s="11" t="inlineStr">
        <is>
          <t>Network</t>
        </is>
      </c>
      <c r="C39" s="11" t="inlineStr">
        <is>
          <t>Firewall with VPN</t>
        </is>
      </c>
      <c r="D39" s="11" t="inlineStr">
        <is>
          <t>Fortinet</t>
        </is>
      </c>
      <c r="E39" s="11" t="inlineStr">
        <is>
          <t>FortiGate Rugged 60F</t>
        </is>
      </c>
      <c r="F39" s="11" t="inlineStr">
        <is>
          <t>FGR-60F</t>
        </is>
      </c>
      <c r="G39" s="11" t="inlineStr">
        <is>
          <t>From memory - confirm</t>
        </is>
      </c>
      <c r="H39" s="11" t="n">
        <v>1</v>
      </c>
      <c r="I39" s="11" t="inlineStr">
        <is>
          <t>11 kV switchroom</t>
        </is>
      </c>
      <c r="J39" s="11" t="inlineStr">
        <is>
          <t>RJ45</t>
        </is>
      </c>
      <c r="K39" s="11" t="inlineStr">
        <is>
          <t>VPN, off by default</t>
        </is>
      </c>
      <c r="L39" s="11" t="inlineStr">
        <is>
          <t>N/A</t>
        </is>
      </c>
      <c r="M39" s="11" t="inlineStr">
        <is>
          <t>-</t>
        </is>
      </c>
      <c r="N39" s="11" t="inlineStr">
        <is>
          <t>Second unit optional.</t>
        </is>
      </c>
    </row>
    <row r="40">
      <c r="A40" s="11" t="inlineStr">
        <is>
          <t>D34</t>
        </is>
      </c>
      <c r="B40" s="11" t="inlineStr">
        <is>
          <t>Network</t>
        </is>
      </c>
      <c r="C40" s="11" t="inlineStr">
        <is>
          <t>GPS time server with antenna</t>
        </is>
      </c>
      <c r="D40" s="11" t="inlineStr">
        <is>
          <t>Meinberg</t>
        </is>
      </c>
      <c r="E40" s="11" t="inlineStr">
        <is>
          <t>LANTIME M300</t>
        </is>
      </c>
      <c r="F40" s="11" t="inlineStr">
        <is>
          <t>M300/GPS</t>
        </is>
      </c>
      <c r="G40" s="11" t="inlineStr">
        <is>
          <t>From memory - confirm</t>
        </is>
      </c>
      <c r="H40" s="11" t="n">
        <v>1</v>
      </c>
      <c r="I40" s="11" t="inlineStr">
        <is>
          <t>11 kV switchroom</t>
        </is>
      </c>
      <c r="J40" s="11" t="inlineStr">
        <is>
          <t>RJ45</t>
        </is>
      </c>
      <c r="K40" s="11" t="inlineStr">
        <is>
          <t>NTP</t>
        </is>
      </c>
      <c r="L40" s="11" t="inlineStr">
        <is>
          <t>NTP</t>
        </is>
      </c>
      <c r="M40" s="11" t="inlineStr">
        <is>
          <t>-</t>
        </is>
      </c>
      <c r="N40" s="11" t="n"/>
    </row>
    <row r="41" ht="25.5" customHeight="1">
      <c r="A41" s="11" t="inlineStr">
        <is>
          <t>D35</t>
        </is>
      </c>
      <c r="B41" s="11" t="inlineStr">
        <is>
          <t>Network</t>
        </is>
      </c>
      <c r="C41" s="11" t="inlineStr">
        <is>
          <t>Armoured single-mode fibre, 12 core, with patch panels</t>
        </is>
      </c>
      <c r="D41" s="11" t="inlineStr">
        <is>
          <t>To suit</t>
        </is>
      </c>
      <c r="E41" s="11" t="inlineStr">
        <is>
          <t>-</t>
        </is>
      </c>
      <c r="F41" s="11" t="inlineStr">
        <is>
          <t>Length per route</t>
        </is>
      </c>
      <c r="G41" s="12" t="inlineStr">
        <is>
          <t>TBC</t>
        </is>
      </c>
      <c r="H41" s="11" t="n">
        <v>3</v>
      </c>
      <c r="I41" s="11" t="inlineStr">
        <is>
          <t>Switchroom-President, switchroom-PM, President-PM</t>
        </is>
      </c>
      <c r="J41" s="11" t="inlineStr">
        <is>
          <t>LC</t>
        </is>
      </c>
      <c r="K41" s="11" t="inlineStr">
        <is>
          <t>-</t>
        </is>
      </c>
      <c r="L41" s="11" t="inlineStr">
        <is>
          <t>N/A</t>
        </is>
      </c>
      <c r="M41" s="11" t="inlineStr">
        <is>
          <t>-</t>
        </is>
      </c>
      <c r="N41" s="11" t="inlineStr">
        <is>
          <t>Third route closes the ring. Rows 5 and 6 use spare cores in the fibre cables to field switches 2 and 3.</t>
        </is>
      </c>
    </row>
    <row r="42" ht="25.5" customHeight="1">
      <c r="A42" s="9" t="inlineStr">
        <is>
          <t>D. SCADA computers, power and enclosures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25.5" customHeight="1">
      <c r="A43" s="11" t="inlineStr">
        <is>
          <t>D36</t>
        </is>
      </c>
      <c r="B43" s="11" t="inlineStr">
        <is>
          <t>SCADA</t>
        </is>
      </c>
      <c r="C43" s="11" t="inlineStr">
        <is>
          <t>SCADA server, rack industrial PC</t>
        </is>
      </c>
      <c r="D43" s="11" t="inlineStr">
        <is>
          <t>Siemens</t>
        </is>
      </c>
      <c r="E43" s="11" t="inlineStr">
        <is>
          <t>SIMATIC IPC647E</t>
        </is>
      </c>
      <c r="F43" s="11" t="inlineStr">
        <is>
          <t>Configured to order</t>
        </is>
      </c>
      <c r="G43" s="12" t="inlineStr">
        <is>
          <t>To confirm with supplier</t>
        </is>
      </c>
      <c r="H43" s="11" t="n">
        <v>2</v>
      </c>
      <c r="I43" s="11" t="inlineStr">
        <is>
          <t>Control room</t>
        </is>
      </c>
      <c r="J43" s="11" t="inlineStr">
        <is>
          <t>2 x RJ45</t>
        </is>
      </c>
      <c r="K43" s="11" t="inlineStr">
        <is>
          <t>IEC 60870-5-104</t>
        </is>
      </c>
      <c r="L43" s="11" t="inlineStr">
        <is>
          <t>IEC 60870-5-104</t>
        </is>
      </c>
      <c r="M43" s="11" t="inlineStr">
        <is>
          <t>-</t>
        </is>
      </c>
      <c r="N43" s="11" t="inlineStr">
        <is>
          <t>Server A active, server B hot standby.</t>
        </is>
      </c>
    </row>
    <row r="44" ht="25.5" customHeight="1">
      <c r="A44" s="11" t="inlineStr">
        <is>
          <t>D37</t>
        </is>
      </c>
      <c r="B44" s="11" t="inlineStr">
        <is>
          <t>SCADA</t>
        </is>
      </c>
      <c r="C44" s="11" t="inlineStr">
        <is>
          <t>Operator workstation with two 24-inch monitors</t>
        </is>
      </c>
      <c r="D44" s="11" t="inlineStr">
        <is>
          <t>Dell</t>
        </is>
      </c>
      <c r="E44" s="11" t="inlineStr">
        <is>
          <t>OptiPlex 7000 series</t>
        </is>
      </c>
      <c r="F44" s="11" t="inlineStr">
        <is>
          <t>Configured to order</t>
        </is>
      </c>
      <c r="G44" s="12" t="inlineStr">
        <is>
          <t>To confirm with supplier</t>
        </is>
      </c>
      <c r="H44" s="11" t="n">
        <v>1</v>
      </c>
      <c r="I44" s="11" t="inlineStr">
        <is>
          <t>Control room</t>
        </is>
      </c>
      <c r="J44" s="11" t="inlineStr">
        <is>
          <t>RJ45</t>
        </is>
      </c>
      <c r="K44" s="11" t="inlineStr">
        <is>
          <t>-</t>
        </is>
      </c>
      <c r="L44" s="11" t="inlineStr">
        <is>
          <t>N/A</t>
        </is>
      </c>
      <c r="M44" s="11" t="inlineStr">
        <is>
          <t>-</t>
        </is>
      </c>
      <c r="N44" s="11" t="n"/>
    </row>
    <row r="45" ht="51" customHeight="1">
      <c r="A45" s="11" t="inlineStr">
        <is>
          <t>D38</t>
        </is>
      </c>
      <c r="B45" s="11" t="inlineStr">
        <is>
          <t>SCADA</t>
        </is>
      </c>
      <c r="C45" s="11" t="inlineStr">
        <is>
          <t>Engineering laptop</t>
        </is>
      </c>
      <c r="D45" s="11" t="inlineStr">
        <is>
          <t>Dell</t>
        </is>
      </c>
      <c r="E45" s="11" t="inlineStr">
        <is>
          <t>Latitude 5430 Rugged</t>
        </is>
      </c>
      <c r="F45" s="11" t="inlineStr">
        <is>
          <t>Configured to order</t>
        </is>
      </c>
      <c r="G45" s="12" t="inlineStr">
        <is>
          <t>To confirm with supplier</t>
        </is>
      </c>
      <c r="H45" s="11" t="n">
        <v>1</v>
      </c>
      <c r="I45" s="11" t="inlineStr">
        <is>
          <t>Control room</t>
        </is>
      </c>
      <c r="J45" s="11" t="inlineStr">
        <is>
          <t>RJ45</t>
        </is>
      </c>
      <c r="K45" s="11" t="inlineStr">
        <is>
          <t>-</t>
        </is>
      </c>
      <c r="L45" s="11" t="inlineStr">
        <is>
          <t>N/A</t>
        </is>
      </c>
      <c r="M45" s="11" t="inlineStr">
        <is>
          <t>-</t>
        </is>
      </c>
      <c r="N45" s="11" t="n"/>
    </row>
    <row r="46" ht="25.5" customHeight="1">
      <c r="A46" s="11" t="inlineStr">
        <is>
          <t>D39</t>
        </is>
      </c>
      <c r="B46" s="11" t="inlineStr">
        <is>
          <t>SCADA</t>
        </is>
      </c>
      <c r="C46" s="11" t="inlineStr">
        <is>
          <t>Power meter</t>
        </is>
      </c>
      <c r="D46" s="11" t="inlineStr">
        <is>
          <t>Schneider Electric</t>
        </is>
      </c>
      <c r="E46" s="11" t="inlineStr">
        <is>
          <t>PowerLogic PM5560</t>
        </is>
      </c>
      <c r="F46" s="11" t="inlineStr">
        <is>
          <t>METSEPM5560</t>
        </is>
      </c>
      <c r="G46" s="11" t="inlineStr">
        <is>
          <t>From memory - confirm</t>
        </is>
      </c>
      <c r="H46" s="11" t="n">
        <v>3</v>
      </c>
      <c r="I46" s="11" t="inlineStr">
        <is>
          <t>LVDB President, LVDB PM, auxiliary board</t>
        </is>
      </c>
      <c r="J46" s="11" t="inlineStr">
        <is>
          <t>RJ45</t>
        </is>
      </c>
      <c r="K46" s="11" t="inlineStr">
        <is>
          <t>Modbus TCP</t>
        </is>
      </c>
      <c r="L46" s="11" t="inlineStr">
        <is>
          <t>Modbus TCP</t>
        </is>
      </c>
      <c r="M46" s="11" t="inlineStr">
        <is>
          <t>-</t>
        </is>
      </c>
      <c r="N46" s="11" t="n"/>
    </row>
    <row r="47" ht="25.5" customHeight="1">
      <c r="A47" s="11" t="inlineStr">
        <is>
          <t>D40</t>
        </is>
      </c>
      <c r="B47" s="11" t="inlineStr">
        <is>
          <t>SCADA</t>
        </is>
      </c>
      <c r="C47" s="11" t="inlineStr">
        <is>
          <t>24 V DC power supply, 20 A, 1-phase</t>
        </is>
      </c>
      <c r="D47" s="11" t="inlineStr">
        <is>
          <t>Siemens</t>
        </is>
      </c>
      <c r="E47" s="11" t="inlineStr">
        <is>
          <t>SITOP PSU8200 24 V/20 A</t>
        </is>
      </c>
      <c r="F47" s="11" t="inlineStr">
        <is>
          <t>6EP1336-3BA10</t>
        </is>
      </c>
      <c r="G47" s="11" t="inlineStr">
        <is>
          <t>Checked</t>
        </is>
      </c>
      <c r="H47" s="11" t="n">
        <v>6</v>
      </c>
      <c r="I47" s="11" t="inlineStr">
        <is>
          <t>Switchroom, office stations, BESS yard, generator area</t>
        </is>
      </c>
      <c r="J47" s="11" t="inlineStr">
        <is>
          <t>-</t>
        </is>
      </c>
      <c r="K47" s="11" t="inlineStr">
        <is>
          <t>-</t>
        </is>
      </c>
      <c r="L47" s="11" t="inlineStr">
        <is>
          <t>N/A</t>
        </is>
      </c>
      <c r="M47" s="11" t="inlineStr">
        <is>
          <t>-</t>
        </is>
      </c>
      <c r="N47" s="11" t="inlineStr">
        <is>
          <t>Switches and gateways. Input 85-275 V AC or 88-350 V DC, so it can run from the 110 V DC station battery. Add SITOP UPS1600 if 24 V must ride through loss of input.</t>
        </is>
      </c>
    </row>
    <row r="48" ht="25.5" customHeight="1">
      <c r="A48" s="11" t="inlineStr">
        <is>
          <t>D41</t>
        </is>
      </c>
      <c r="B48" s="11" t="inlineStr">
        <is>
          <t>SCADA</t>
        </is>
      </c>
      <c r="C48" s="11" t="inlineStr">
        <is>
          <t>UPS for the SCADA cabinet, 3000 VA</t>
        </is>
      </c>
      <c r="D48" s="11" t="inlineStr">
        <is>
          <t>APC</t>
        </is>
      </c>
      <c r="E48" s="11" t="inlineStr">
        <is>
          <t>Smart-UPS SRT 3000</t>
        </is>
      </c>
      <c r="F48" s="11" t="inlineStr">
        <is>
          <t>SRT3000RMXLI</t>
        </is>
      </c>
      <c r="G48" s="11" t="inlineStr">
        <is>
          <t>From memory - confirm</t>
        </is>
      </c>
      <c r="H48" s="11" t="n">
        <v>1</v>
      </c>
      <c r="I48" s="11" t="inlineStr">
        <is>
          <t>Control room</t>
        </is>
      </c>
      <c r="J48" s="11" t="inlineStr">
        <is>
          <t>RJ45</t>
        </is>
      </c>
      <c r="K48" s="11" t="inlineStr">
        <is>
          <t>SNMP</t>
        </is>
      </c>
      <c r="L48" s="11" t="inlineStr">
        <is>
          <t>N/A</t>
        </is>
      </c>
      <c r="M48" s="11" t="inlineStr">
        <is>
          <t>-</t>
        </is>
      </c>
      <c r="N48" s="11" t="inlineStr">
        <is>
          <t>About 2 hours runtime with battery pack; size at design.</t>
        </is>
      </c>
    </row>
    <row r="49">
      <c r="A49" s="11" t="inlineStr">
        <is>
          <t>D42</t>
        </is>
      </c>
      <c r="B49" s="11" t="inlineStr">
        <is>
          <t>SCADA</t>
        </is>
      </c>
      <c r="C49" s="11" t="inlineStr">
        <is>
          <t>SCADA cabinet, 800 x 2000 x 800 mm</t>
        </is>
      </c>
      <c r="D49" s="11" t="inlineStr">
        <is>
          <t>Rittal</t>
        </is>
      </c>
      <c r="E49" s="11" t="inlineStr">
        <is>
          <t>VX25</t>
        </is>
      </c>
      <c r="F49" s="11" t="inlineStr">
        <is>
          <t>8808.000</t>
        </is>
      </c>
      <c r="G49" s="11" t="inlineStr">
        <is>
          <t>From memory - confirm</t>
        </is>
      </c>
      <c r="H49" s="11" t="n">
        <v>1</v>
      </c>
      <c r="I49" s="11" t="inlineStr">
        <is>
          <t>11 kV switchroom</t>
        </is>
      </c>
      <c r="J49" s="11" t="inlineStr">
        <is>
          <t>-</t>
        </is>
      </c>
      <c r="K49" s="11" t="inlineStr">
        <is>
          <t>-</t>
        </is>
      </c>
      <c r="L49" s="11" t="inlineStr">
        <is>
          <t>N/A</t>
        </is>
      </c>
      <c r="M49" s="11" t="inlineStr">
        <is>
          <t>Row 2</t>
        </is>
      </c>
      <c r="N49" s="11" t="inlineStr">
        <is>
          <t>Door contact wired to row 2.</t>
        </is>
      </c>
    </row>
    <row r="50">
      <c r="A50" s="11" t="inlineStr">
        <is>
          <t>D43</t>
        </is>
      </c>
      <c r="B50" s="11" t="inlineStr">
        <is>
          <t>SCADA</t>
        </is>
      </c>
      <c r="C50" s="11" t="inlineStr">
        <is>
          <t>Outdoor I/O panel, IP55 minimum</t>
        </is>
      </c>
      <c r="D50" s="11" t="inlineStr">
        <is>
          <t>Rittal</t>
        </is>
      </c>
      <c r="E50" s="11" t="inlineStr">
        <is>
          <t>AX</t>
        </is>
      </c>
      <c r="F50" s="11" t="inlineStr">
        <is>
          <t>Size to suit</t>
        </is>
      </c>
      <c r="G50" s="12" t="inlineStr">
        <is>
          <t>TBC</t>
        </is>
      </c>
      <c r="H50" s="11" t="n">
        <v>4</v>
      </c>
      <c r="I50" s="11" t="inlineStr">
        <is>
          <t>Office stations, BESS yard, generator area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N/A</t>
        </is>
      </c>
      <c r="M50" s="11" t="inlineStr">
        <is>
          <t>Rows 3-6</t>
        </is>
      </c>
      <c r="N50" s="11" t="inlineStr">
        <is>
          <t>Shaded or air-conditioned where exposed to direct sun.</t>
        </is>
      </c>
    </row>
    <row r="51" ht="25.5" customHeight="1">
      <c r="A51" s="11" t="inlineStr">
        <is>
          <t>D44</t>
        </is>
      </c>
      <c r="B51" s="11" t="inlineStr">
        <is>
          <t>SCADA</t>
        </is>
      </c>
      <c r="C51" s="11" t="inlineStr">
        <is>
          <t>Alarm sounder and beacon</t>
        </is>
      </c>
      <c r="D51" s="11" t="inlineStr">
        <is>
          <t>Pfannenberg</t>
        </is>
      </c>
      <c r="E51" s="11" t="inlineStr">
        <is>
          <t>PATROL</t>
        </is>
      </c>
      <c r="F51" s="11" t="inlineStr">
        <is>
          <t>Model to suit</t>
        </is>
      </c>
      <c r="G51" s="12" t="inlineStr">
        <is>
          <t>TBC</t>
        </is>
      </c>
      <c r="H51" s="11" t="n">
        <v>1</v>
      </c>
      <c r="I51" s="11" t="inlineStr">
        <is>
          <t>Control room</t>
        </is>
      </c>
      <c r="J51" s="11" t="inlineStr">
        <is>
          <t>Terminal</t>
        </is>
      </c>
      <c r="K51" s="11" t="inlineStr">
        <is>
          <t>Hardwired</t>
        </is>
      </c>
      <c r="L51" s="11" t="inlineStr">
        <is>
          <t>Hardwired</t>
        </is>
      </c>
      <c r="M51" s="11" t="inlineStr">
        <is>
          <t>Row 1</t>
        </is>
      </c>
      <c r="N51" s="11" t="n"/>
    </row>
    <row r="52" ht="25.5" customHeight="1">
      <c r="A52" s="9" t="inlineStr">
        <is>
          <t>E. Software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25.5" customHeight="1">
      <c r="A53" s="11" t="inlineStr">
        <is>
          <t>D45</t>
        </is>
      </c>
      <c r="B53" s="11" t="inlineStr">
        <is>
          <t>Software</t>
        </is>
      </c>
      <c r="C53" s="11" t="inlineStr">
        <is>
          <t>Substation SCADA, redundant</t>
        </is>
      </c>
      <c r="D53" s="11" t="inlineStr">
        <is>
          <t>Siemens</t>
        </is>
      </c>
      <c r="E53" s="11" t="inlineStr">
        <is>
          <t>SICAM SCC</t>
        </is>
      </c>
      <c r="F53" s="11" t="inlineStr">
        <is>
          <t>By quotation</t>
        </is>
      </c>
      <c r="G53" s="12" t="inlineStr">
        <is>
          <t>To confirm with supplier</t>
        </is>
      </c>
      <c r="H53" s="11" t="n">
        <v>1</v>
      </c>
      <c r="I53" s="11" t="inlineStr">
        <is>
          <t>SCADA servers</t>
        </is>
      </c>
      <c r="J53" s="11" t="inlineStr">
        <is>
          <t>-</t>
        </is>
      </c>
      <c r="K53" s="11" t="inlineStr">
        <is>
          <t>IEC 60870-5-104</t>
        </is>
      </c>
      <c r="L53" s="11" t="inlineStr">
        <is>
          <t>N/A</t>
        </is>
      </c>
      <c r="M53" s="11" t="inlineStr">
        <is>
          <t>-</t>
        </is>
      </c>
      <c r="N53" s="11" t="inlineStr">
        <is>
          <t>Licence sized for about 700 signals; includes Operator and Admin roles.</t>
        </is>
      </c>
    </row>
    <row r="54">
      <c r="A54" s="11" t="inlineStr">
        <is>
          <t>D46</t>
        </is>
      </c>
      <c r="B54" s="11" t="inlineStr">
        <is>
          <t>Software</t>
        </is>
      </c>
      <c r="C54" s="11" t="inlineStr">
        <is>
          <t>Controller engineering tool</t>
        </is>
      </c>
      <c r="D54" s="11" t="inlineStr">
        <is>
          <t>Siemens</t>
        </is>
      </c>
      <c r="E54" s="11" t="inlineStr">
        <is>
          <t>SICAM Device Manager</t>
        </is>
      </c>
      <c r="F54" s="11" t="inlineStr">
        <is>
          <t>By quotation</t>
        </is>
      </c>
      <c r="G54" s="12" t="inlineStr">
        <is>
          <t>To confirm with supplier</t>
        </is>
      </c>
      <c r="H54" s="11" t="n">
        <v>1</v>
      </c>
      <c r="I54" s="11" t="inlineStr">
        <is>
          <t>Engineering laptop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N/A</t>
        </is>
      </c>
      <c r="M54" s="11" t="inlineStr">
        <is>
          <t>-</t>
        </is>
      </c>
      <c r="N54" s="11" t="n"/>
    </row>
    <row r="55">
      <c r="A55" s="11" t="inlineStr">
        <is>
          <t>D47</t>
        </is>
      </c>
      <c r="B55" s="11" t="inlineStr">
        <is>
          <t>Software</t>
        </is>
      </c>
      <c r="C55" s="11" t="inlineStr">
        <is>
          <t>Network management</t>
        </is>
      </c>
      <c r="D55" s="11" t="inlineStr">
        <is>
          <t>Moxa</t>
        </is>
      </c>
      <c r="E55" s="11" t="inlineStr">
        <is>
          <t>MXview One</t>
        </is>
      </c>
      <c r="F55" s="11" t="inlineStr">
        <is>
          <t>By quotation</t>
        </is>
      </c>
      <c r="G55" s="12" t="inlineStr">
        <is>
          <t>To confirm with supplier</t>
        </is>
      </c>
      <c r="H55" s="11" t="n">
        <v>1</v>
      </c>
      <c r="I55" s="11" t="inlineStr">
        <is>
          <t>SCADA server</t>
        </is>
      </c>
      <c r="J55" s="11" t="inlineStr">
        <is>
          <t>-</t>
        </is>
      </c>
      <c r="K55" s="11" t="inlineStr">
        <is>
          <t>SNMP</t>
        </is>
      </c>
      <c r="L55" s="11" t="inlineStr">
        <is>
          <t>N/A</t>
        </is>
      </c>
      <c r="M55" s="11" t="inlineStr">
        <is>
          <t>-</t>
        </is>
      </c>
      <c r="N55" s="11" t="n"/>
    </row>
    <row r="56">
      <c r="A56" s="11" t="inlineStr">
        <is>
          <t>D48</t>
        </is>
      </c>
      <c r="B56" s="11" t="inlineStr">
        <is>
          <t>Software</t>
        </is>
      </c>
      <c r="C56" s="11" t="inlineStr">
        <is>
          <t>VPN client</t>
        </is>
      </c>
      <c r="D56" s="11" t="inlineStr">
        <is>
          <t>Fortinet</t>
        </is>
      </c>
      <c r="E56" s="11" t="inlineStr">
        <is>
          <t>FortiClient</t>
        </is>
      </c>
      <c r="F56" s="11" t="inlineStr">
        <is>
          <t>-</t>
        </is>
      </c>
      <c r="G56" s="11" t="inlineStr">
        <is>
          <t>-</t>
        </is>
      </c>
      <c r="H56" s="11" t="n">
        <v>1</v>
      </c>
      <c r="I56" s="11" t="inlineStr">
        <is>
          <t>Remote users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N/A</t>
        </is>
      </c>
      <c r="M56" s="11" t="inlineStr">
        <is>
          <t>-</t>
        </is>
      </c>
      <c r="N56" s="11" t="n"/>
    </row>
  </sheetData>
  <autoFilter ref="A1:N54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26" customWidth="1" min="1" max="1"/>
    <col width="60" customWidth="1" min="2" max="2"/>
    <col width="12" customWidth="1" min="3" max="3"/>
    <col width="14" customWidth="1" min="4" max="4"/>
  </cols>
  <sheetData>
    <row r="1" ht="30" customHeight="1">
      <c r="A1" s="8" t="inlineStr">
        <is>
          <t>Primary protocol</t>
        </is>
      </c>
      <c r="B1" s="8" t="inlineStr">
        <is>
          <t>Where used</t>
        </is>
      </c>
      <c r="C1" s="8" t="inlineStr">
        <is>
          <t>Device lines</t>
        </is>
      </c>
      <c r="D1" s="8" t="inlineStr">
        <is>
          <t>Device quantity</t>
        </is>
      </c>
    </row>
    <row r="2">
      <c r="A2" s="11" t="inlineStr">
        <is>
          <t>IEC 60870-5-104</t>
        </is>
      </c>
      <c r="B2" s="11" t="inlineStr">
        <is>
          <t>CP-8050 to SCADA servers A and B</t>
        </is>
      </c>
      <c r="C2" s="11">
        <f>COUNTIF('Device List'!$L$2:$L$56,A2)</f>
        <v/>
      </c>
      <c r="D2" s="11">
        <f>SUMIF('Device List'!$L$2:$L$56,A2,'Device List'!$H$2:$H$56)</f>
        <v/>
      </c>
    </row>
    <row r="3">
      <c r="A3" s="11" t="inlineStr">
        <is>
          <t>IEC 61850</t>
        </is>
      </c>
      <c r="B3" s="11" t="inlineStr">
        <is>
          <t>11 kV protection relays (Modbus TCP if not supported)</t>
        </is>
      </c>
      <c r="C3" s="11">
        <f>COUNTIF('Device List'!$L$2:$L$56,A3)</f>
        <v/>
      </c>
      <c r="D3" s="11">
        <f>SUMIF('Device List'!$L$2:$L$56,A3,'Device List'!$H$2:$H$56)</f>
        <v/>
      </c>
    </row>
    <row r="4" ht="25.5" customHeight="1">
      <c r="A4" s="11" t="inlineStr">
        <is>
          <t>Modbus TCP</t>
        </is>
      </c>
      <c r="B4" s="11" t="inlineStr">
        <is>
          <t>PLC box, EMS, battery via EMS, generator controllers, power meters, weather logger, UPS, gateways</t>
        </is>
      </c>
      <c r="C4" s="11">
        <f>COUNTIF('Device List'!$L$2:$L$56,A4)</f>
        <v/>
      </c>
      <c r="D4" s="11">
        <f>SUMIF('Device List'!$L$2:$L$56,A4,'Device List'!$H$2:$H$56)</f>
        <v/>
      </c>
    </row>
    <row r="5">
      <c r="A5" s="11" t="inlineStr">
        <is>
          <t>Modbus RTU</t>
        </is>
      </c>
      <c r="B5" s="11" t="inlineStr">
        <is>
          <t>RMU relays ST260E, through MGate gateways</t>
        </is>
      </c>
      <c r="C5" s="11">
        <f>COUNTIF('Device List'!$L$2:$L$56,A5)</f>
        <v/>
      </c>
      <c r="D5" s="11">
        <f>SUMIF('Device List'!$L$2:$L$56,A5,'Device List'!$H$2:$H$56)</f>
        <v/>
      </c>
    </row>
    <row r="6">
      <c r="A6" s="11" t="inlineStr">
        <is>
          <t>SICAM I/O link</t>
        </is>
      </c>
      <c r="B6" s="11" t="inlineStr">
        <is>
          <t>CP-8050 to I/O modules and remote rows (Siemens proprietary)</t>
        </is>
      </c>
      <c r="C6" s="11">
        <f>COUNTIF('Device List'!$L$2:$L$56,A6)</f>
        <v/>
      </c>
      <c r="D6" s="11">
        <f>SUMIF('Device List'!$L$2:$L$56,A6,'Device List'!$H$2:$H$56)</f>
        <v/>
      </c>
    </row>
    <row r="7">
      <c r="A7" s="11" t="inlineStr">
        <is>
          <t>Hardwired</t>
        </is>
      </c>
      <c r="B7" s="11" t="inlineStr">
        <is>
          <t>Status contacts, alarms and commands wired to I/O modules</t>
        </is>
      </c>
      <c r="C7" s="11">
        <f>COUNTIF('Device List'!$L$2:$L$56,A7)</f>
        <v/>
      </c>
      <c r="D7" s="11">
        <f>SUMIF('Device List'!$L$2:$L$56,A7,'Device List'!$H$2:$H$56)</f>
        <v/>
      </c>
    </row>
    <row r="8">
      <c r="A8" s="11" t="inlineStr">
        <is>
          <t>Power line communication</t>
        </is>
      </c>
      <c r="B8" s="11" t="inlineStr">
        <is>
          <t>PV inverters to the PLC box over the AC cables</t>
        </is>
      </c>
      <c r="C8" s="11">
        <f>COUNTIF('Device List'!$L$2:$L$56,A8)</f>
        <v/>
      </c>
      <c r="D8" s="11">
        <f>SUMIF('Device List'!$L$2:$L$56,A8,'Device List'!$H$2:$H$56)</f>
        <v/>
      </c>
    </row>
    <row r="9">
      <c r="A9" s="11" t="inlineStr">
        <is>
          <t>NTP</t>
        </is>
      </c>
      <c r="B9" s="11" t="inlineStr">
        <is>
          <t>Time synchronisation from the GPS time server</t>
        </is>
      </c>
      <c r="C9" s="11">
        <f>COUNTIF('Device List'!$L$2:$L$56,A9)</f>
        <v/>
      </c>
      <c r="D9" s="11">
        <f>SUMIF('Device List'!$L$2:$L$56,A9,'Device List'!$H$2:$H$56)</f>
        <v/>
      </c>
    </row>
    <row r="10">
      <c r="A10" s="11" t="inlineStr">
        <is>
          <t>Through logger</t>
        </is>
      </c>
      <c r="B10" s="11" t="inlineStr">
        <is>
          <t>Weather sensors to the blue'Log</t>
        </is>
      </c>
      <c r="C10" s="11">
        <f>COUNTIF('Device List'!$L$2:$L$56,A10)</f>
        <v/>
      </c>
      <c r="D10" s="11">
        <f>SUMIF('Device List'!$L$2:$L$56,A10,'Device List'!$H$2:$H$56)</f>
        <v/>
      </c>
    </row>
    <row r="11"/>
    <row r="12">
      <c r="A12" s="13" t="inlineStr">
        <is>
          <t>Supervision protocols: SNMP v3 and syslog from switches, firewall and time server to the SCADA servers.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25"/>
  <cols>
    <col width="24" customWidth="1" min="1" max="1"/>
    <col width="40" customWidth="1" min="2" max="2"/>
    <col width="26" customWidth="1" min="3" max="3"/>
    <col width="18" customWidth="1" min="4" max="4"/>
    <col width="7" customWidth="1" min="5" max="5"/>
    <col width="8" customWidth="1" min="6" max="6"/>
    <col width="11" customWidth="1" min="7" max="8"/>
    <col width="8" customWidth="1" min="9" max="9"/>
    <col width="18" customWidth="1" min="10" max="10"/>
    <col width="11" customWidth="1" min="11" max="11"/>
    <col width="12" customWidth="1" min="12" max="12"/>
    <col width="30" customWidth="1" min="13" max="13"/>
  </cols>
  <sheetData>
    <row r="1" ht="30" customHeight="1">
      <c r="A1" s="8" t="inlineStr">
        <is>
          <t>Tag</t>
        </is>
      </c>
      <c r="B1" s="8" t="inlineStr">
        <is>
          <t>Description</t>
        </is>
      </c>
      <c r="C1" s="8" t="inlineStr">
        <is>
          <t>Equipment</t>
        </is>
      </c>
      <c r="D1" s="8" t="inlineStr">
        <is>
          <t>Location</t>
        </is>
      </c>
      <c r="E1" s="8" t="inlineStr">
        <is>
          <t>Type</t>
        </is>
      </c>
      <c r="F1" s="8" t="inlineStr">
        <is>
          <t>I/O row</t>
        </is>
      </c>
      <c r="G1" s="8" t="inlineStr">
        <is>
          <t>Module</t>
        </is>
      </c>
      <c r="H1" s="8" t="inlineStr">
        <is>
          <t>Module type</t>
        </is>
      </c>
      <c r="I1" s="8" t="inlineStr">
        <is>
          <t>Channel</t>
        </is>
      </c>
      <c r="J1" s="8" t="inlineStr">
        <is>
          <t>Normal state / range</t>
        </is>
      </c>
      <c r="K1" s="8" t="inlineStr">
        <is>
          <t>Alarm level</t>
        </is>
      </c>
      <c r="L1" s="8" t="inlineStr">
        <is>
          <t>Operated by</t>
        </is>
      </c>
      <c r="M1" s="8" t="inlineStr">
        <is>
          <t>Notes</t>
        </is>
      </c>
    </row>
    <row r="2" ht="25.5" customHeight="1">
      <c r="A2" s="11" t="inlineStr">
        <is>
          <t>AH1-CB-OPEN</t>
        </is>
      </c>
      <c r="B2" s="11" t="inlineStr">
        <is>
          <t>Circuit breaker open</t>
        </is>
      </c>
      <c r="C2" s="11" t="inlineStr">
        <is>
          <t>11 kV panel AH1, Generator incomer</t>
        </is>
      </c>
      <c r="D2" s="11" t="inlineStr">
        <is>
          <t>11 kV switchroom</t>
        </is>
      </c>
      <c r="E2" s="11" t="inlineStr">
        <is>
          <t>DI</t>
        </is>
      </c>
      <c r="F2" s="11" t="n">
        <v>1</v>
      </c>
      <c r="G2" s="11" t="inlineStr">
        <is>
          <t>R1-DI01</t>
        </is>
      </c>
      <c r="H2" s="11" t="inlineStr">
        <is>
          <t>DI-8112</t>
        </is>
      </c>
      <c r="I2" s="11" t="n">
        <v>1</v>
      </c>
      <c r="J2" s="11" t="inlineStr">
        <is>
          <t>Status</t>
        </is>
      </c>
      <c r="K2" s="11" t="inlineStr">
        <is>
          <t>Status</t>
        </is>
      </c>
      <c r="L2" s="11" t="inlineStr">
        <is>
          <t>-</t>
        </is>
      </c>
      <c r="M2" s="11" t="n"/>
    </row>
    <row r="3" ht="25.5" customHeight="1">
      <c r="A3" s="11" t="inlineStr">
        <is>
          <t>AH1-CB-CLSD</t>
        </is>
      </c>
      <c r="B3" s="11" t="inlineStr">
        <is>
          <t>Circuit breaker closed</t>
        </is>
      </c>
      <c r="C3" s="11" t="inlineStr">
        <is>
          <t>11 kV panel AH1, Generator incomer</t>
        </is>
      </c>
      <c r="D3" s="11" t="inlineStr">
        <is>
          <t>11 kV switchroom</t>
        </is>
      </c>
      <c r="E3" s="11" t="inlineStr">
        <is>
          <t>DI</t>
        </is>
      </c>
      <c r="F3" s="11" t="n">
        <v>1</v>
      </c>
      <c r="G3" s="11" t="inlineStr">
        <is>
          <t>R1-DI01</t>
        </is>
      </c>
      <c r="H3" s="11" t="inlineStr">
        <is>
          <t>DI-8112</t>
        </is>
      </c>
      <c r="I3" s="11" t="n">
        <v>2</v>
      </c>
      <c r="J3" s="11" t="inlineStr">
        <is>
          <t>Status</t>
        </is>
      </c>
      <c r="K3" s="11" t="inlineStr">
        <is>
          <t>Status</t>
        </is>
      </c>
      <c r="L3" s="11" t="inlineStr">
        <is>
          <t>-</t>
        </is>
      </c>
      <c r="M3" s="11" t="n"/>
    </row>
    <row r="4" ht="25.5" customHeight="1">
      <c r="A4" s="11" t="inlineStr">
        <is>
          <t>AH1-CB-TRIP</t>
        </is>
      </c>
      <c r="B4" s="11" t="inlineStr">
        <is>
          <t>Circuit breaker tripped by protection</t>
        </is>
      </c>
      <c r="C4" s="11" t="inlineStr">
        <is>
          <t>11 kV panel AH1, Generator incomer</t>
        </is>
      </c>
      <c r="D4" s="11" t="inlineStr">
        <is>
          <t>11 kV switchroom</t>
        </is>
      </c>
      <c r="E4" s="11" t="inlineStr">
        <is>
          <t>DI</t>
        </is>
      </c>
      <c r="F4" s="11" t="n">
        <v>1</v>
      </c>
      <c r="G4" s="11" t="inlineStr">
        <is>
          <t>R1-DI01</t>
        </is>
      </c>
      <c r="H4" s="11" t="inlineStr">
        <is>
          <t>DI-8112</t>
        </is>
      </c>
      <c r="I4" s="11" t="n">
        <v>3</v>
      </c>
      <c r="J4" s="11" t="inlineStr">
        <is>
          <t>Normally open</t>
        </is>
      </c>
      <c r="K4" s="11" t="inlineStr">
        <is>
          <t>1</t>
        </is>
      </c>
      <c r="L4" s="11" t="inlineStr">
        <is>
          <t>-</t>
        </is>
      </c>
      <c r="M4" s="11" t="n"/>
    </row>
    <row r="5" ht="25.5" customHeight="1">
      <c r="A5" s="11" t="inlineStr">
        <is>
          <t>AH1-ES-CLSD</t>
        </is>
      </c>
      <c r="B5" s="11" t="inlineStr">
        <is>
          <t>Earth switch closed</t>
        </is>
      </c>
      <c r="C5" s="11" t="inlineStr">
        <is>
          <t>11 kV panel AH1, Generator incomer</t>
        </is>
      </c>
      <c r="D5" s="11" t="inlineStr">
        <is>
          <t>11 kV switchroom</t>
        </is>
      </c>
      <c r="E5" s="11" t="inlineStr">
        <is>
          <t>DI</t>
        </is>
      </c>
      <c r="F5" s="11" t="n">
        <v>1</v>
      </c>
      <c r="G5" s="11" t="inlineStr">
        <is>
          <t>R1-DI01</t>
        </is>
      </c>
      <c r="H5" s="11" t="inlineStr">
        <is>
          <t>DI-8112</t>
        </is>
      </c>
      <c r="I5" s="11" t="n">
        <v>4</v>
      </c>
      <c r="J5" s="11" t="inlineStr">
        <is>
          <t>Status</t>
        </is>
      </c>
      <c r="K5" s="11" t="inlineStr">
        <is>
          <t>Status</t>
        </is>
      </c>
      <c r="L5" s="11" t="inlineStr">
        <is>
          <t>-</t>
        </is>
      </c>
      <c r="M5" s="11" t="inlineStr">
        <is>
          <t>Interlock: blocks remote close</t>
        </is>
      </c>
    </row>
    <row r="6" ht="25.5" customHeight="1">
      <c r="A6" s="11" t="inlineStr">
        <is>
          <t>AH1-LR-REM</t>
        </is>
      </c>
      <c r="B6" s="11" t="inlineStr">
        <is>
          <t>Local/remote switch in remote</t>
        </is>
      </c>
      <c r="C6" s="11" t="inlineStr">
        <is>
          <t>11 kV panel AH1, Generator incomer</t>
        </is>
      </c>
      <c r="D6" s="11" t="inlineStr">
        <is>
          <t>11 kV switchroom</t>
        </is>
      </c>
      <c r="E6" s="11" t="inlineStr">
        <is>
          <t>DI</t>
        </is>
      </c>
      <c r="F6" s="11" t="n">
        <v>1</v>
      </c>
      <c r="G6" s="11" t="inlineStr">
        <is>
          <t>R1-DI01</t>
        </is>
      </c>
      <c r="H6" s="11" t="inlineStr">
        <is>
          <t>DI-8112</t>
        </is>
      </c>
      <c r="I6" s="11" t="n">
        <v>5</v>
      </c>
      <c r="J6" s="11" t="inlineStr">
        <is>
          <t>Status</t>
        </is>
      </c>
      <c r="K6" s="11" t="inlineStr">
        <is>
          <t>Status</t>
        </is>
      </c>
      <c r="L6" s="11" t="inlineStr">
        <is>
          <t>-</t>
        </is>
      </c>
      <c r="M6" s="11" t="inlineStr">
        <is>
          <t>Interlock: remote commands only in remote</t>
        </is>
      </c>
    </row>
    <row r="7" ht="25.5" customHeight="1">
      <c r="A7" s="11" t="inlineStr">
        <is>
          <t>AH1-SPR-CHG</t>
        </is>
      </c>
      <c r="B7" s="11" t="inlineStr">
        <is>
          <t>Closing spring charged</t>
        </is>
      </c>
      <c r="C7" s="11" t="inlineStr">
        <is>
          <t>11 kV panel AH1, Generator incomer</t>
        </is>
      </c>
      <c r="D7" s="11" t="inlineStr">
        <is>
          <t>11 kV switchroom</t>
        </is>
      </c>
      <c r="E7" s="11" t="inlineStr">
        <is>
          <t>DI</t>
        </is>
      </c>
      <c r="F7" s="11" t="n">
        <v>1</v>
      </c>
      <c r="G7" s="11" t="inlineStr">
        <is>
          <t>R1-DI01</t>
        </is>
      </c>
      <c r="H7" s="11" t="inlineStr">
        <is>
          <t>DI-8112</t>
        </is>
      </c>
      <c r="I7" s="11" t="n">
        <v>6</v>
      </c>
      <c r="J7" s="11" t="inlineStr">
        <is>
          <t>Normally closed</t>
        </is>
      </c>
      <c r="K7" s="11" t="inlineStr">
        <is>
          <t>3</t>
        </is>
      </c>
      <c r="L7" s="11" t="inlineStr">
        <is>
          <t>-</t>
        </is>
      </c>
      <c r="M7" s="11" t="n"/>
    </row>
    <row r="8" ht="25.5" customHeight="1">
      <c r="A8" s="11" t="inlineStr">
        <is>
          <t>AH1-GAS-LOW</t>
        </is>
      </c>
      <c r="B8" s="11" t="inlineStr">
        <is>
          <t>Gas pressure low</t>
        </is>
      </c>
      <c r="C8" s="11" t="inlineStr">
        <is>
          <t>11 kV panel AH1, Generator incomer</t>
        </is>
      </c>
      <c r="D8" s="11" t="inlineStr">
        <is>
          <t>11 kV switchroom</t>
        </is>
      </c>
      <c r="E8" s="11" t="inlineStr">
        <is>
          <t>DI</t>
        </is>
      </c>
      <c r="F8" s="11" t="n">
        <v>1</v>
      </c>
      <c r="G8" s="11" t="inlineStr">
        <is>
          <t>R1-DI01</t>
        </is>
      </c>
      <c r="H8" s="11" t="inlineStr">
        <is>
          <t>DI-8112</t>
        </is>
      </c>
      <c r="I8" s="11" t="n">
        <v>7</v>
      </c>
      <c r="J8" s="11" t="inlineStr">
        <is>
          <t>Normally open</t>
        </is>
      </c>
      <c r="K8" s="11" t="inlineStr">
        <is>
          <t>2</t>
        </is>
      </c>
      <c r="L8" s="11" t="inlineStr">
        <is>
          <t>-</t>
        </is>
      </c>
      <c r="M8" s="11" t="n"/>
    </row>
    <row r="9" ht="25.5" customHeight="1">
      <c r="A9" s="11" t="inlineStr">
        <is>
          <t>AH1-RLY-OK</t>
        </is>
      </c>
      <c r="B9" s="11" t="inlineStr">
        <is>
          <t>Protection relay healthy</t>
        </is>
      </c>
      <c r="C9" s="11" t="inlineStr">
        <is>
          <t>11 kV panel AH1, Generator incomer</t>
        </is>
      </c>
      <c r="D9" s="11" t="inlineStr">
        <is>
          <t>11 kV switchroom</t>
        </is>
      </c>
      <c r="E9" s="11" t="inlineStr">
        <is>
          <t>DI</t>
        </is>
      </c>
      <c r="F9" s="11" t="n">
        <v>1</v>
      </c>
      <c r="G9" s="11" t="inlineStr">
        <is>
          <t>R1-DI01</t>
        </is>
      </c>
      <c r="H9" s="11" t="inlineStr">
        <is>
          <t>DI-8112</t>
        </is>
      </c>
      <c r="I9" s="11" t="n">
        <v>8</v>
      </c>
      <c r="J9" s="11" t="inlineStr">
        <is>
          <t>Normally closed</t>
        </is>
      </c>
      <c r="K9" s="11" t="inlineStr">
        <is>
          <t>2</t>
        </is>
      </c>
      <c r="L9" s="11" t="inlineStr">
        <is>
          <t>-</t>
        </is>
      </c>
      <c r="M9" s="11" t="n"/>
    </row>
    <row r="10" ht="25.5" customHeight="1">
      <c r="A10" s="11" t="inlineStr">
        <is>
          <t>AH1-AUX-OK</t>
        </is>
      </c>
      <c r="B10" s="11" t="inlineStr">
        <is>
          <t>Control supply healthy</t>
        </is>
      </c>
      <c r="C10" s="11" t="inlineStr">
        <is>
          <t>11 kV panel AH1, Generator incomer</t>
        </is>
      </c>
      <c r="D10" s="11" t="inlineStr">
        <is>
          <t>11 kV switchroom</t>
        </is>
      </c>
      <c r="E10" s="11" t="inlineStr">
        <is>
          <t>DI</t>
        </is>
      </c>
      <c r="F10" s="11" t="n">
        <v>1</v>
      </c>
      <c r="G10" s="11" t="inlineStr">
        <is>
          <t>R1-DI01</t>
        </is>
      </c>
      <c r="H10" s="11" t="inlineStr">
        <is>
          <t>DI-8112</t>
        </is>
      </c>
      <c r="I10" s="11" t="n">
        <v>9</v>
      </c>
      <c r="J10" s="11" t="inlineStr">
        <is>
          <t>Normally closed</t>
        </is>
      </c>
      <c r="K10" s="11" t="inlineStr">
        <is>
          <t>2</t>
        </is>
      </c>
      <c r="L10" s="11" t="inlineStr">
        <is>
          <t>-</t>
        </is>
      </c>
      <c r="M10" s="11" t="n"/>
    </row>
    <row r="11">
      <c r="A11" s="11" t="inlineStr">
        <is>
          <t>AH2-CB-OPEN</t>
        </is>
      </c>
      <c r="B11" s="11" t="inlineStr">
        <is>
          <t>Circuit breaker open</t>
        </is>
      </c>
      <c r="C11" s="11" t="inlineStr">
        <is>
          <t>11 kV panel AH2, PV incomer</t>
        </is>
      </c>
      <c r="D11" s="11" t="inlineStr">
        <is>
          <t>11 kV switchroom</t>
        </is>
      </c>
      <c r="E11" s="11" t="inlineStr">
        <is>
          <t>DI</t>
        </is>
      </c>
      <c r="F11" s="11" t="n">
        <v>1</v>
      </c>
      <c r="G11" s="11" t="inlineStr">
        <is>
          <t>R1-DI01</t>
        </is>
      </c>
      <c r="H11" s="11" t="inlineStr">
        <is>
          <t>DI-8112</t>
        </is>
      </c>
      <c r="I11" s="11" t="n">
        <v>10</v>
      </c>
      <c r="J11" s="11" t="inlineStr">
        <is>
          <t>Status</t>
        </is>
      </c>
      <c r="K11" s="11" t="inlineStr">
        <is>
          <t>Status</t>
        </is>
      </c>
      <c r="L11" s="11" t="inlineStr">
        <is>
          <t>-</t>
        </is>
      </c>
      <c r="M11" s="11" t="n"/>
    </row>
    <row r="12">
      <c r="A12" s="11" t="inlineStr">
        <is>
          <t>AH2-CB-CLSD</t>
        </is>
      </c>
      <c r="B12" s="11" t="inlineStr">
        <is>
          <t>Circuit breaker closed</t>
        </is>
      </c>
      <c r="C12" s="11" t="inlineStr">
        <is>
          <t>11 kV panel AH2, PV incomer</t>
        </is>
      </c>
      <c r="D12" s="11" t="inlineStr">
        <is>
          <t>11 kV switchroom</t>
        </is>
      </c>
      <c r="E12" s="11" t="inlineStr">
        <is>
          <t>DI</t>
        </is>
      </c>
      <c r="F12" s="11" t="n">
        <v>1</v>
      </c>
      <c r="G12" s="11" t="inlineStr">
        <is>
          <t>R1-DI01</t>
        </is>
      </c>
      <c r="H12" s="11" t="inlineStr">
        <is>
          <t>DI-8112</t>
        </is>
      </c>
      <c r="I12" s="11" t="n">
        <v>11</v>
      </c>
      <c r="J12" s="11" t="inlineStr">
        <is>
          <t>Status</t>
        </is>
      </c>
      <c r="K12" s="11" t="inlineStr">
        <is>
          <t>Status</t>
        </is>
      </c>
      <c r="L12" s="11" t="inlineStr">
        <is>
          <t>-</t>
        </is>
      </c>
      <c r="M12" s="11" t="n"/>
    </row>
    <row r="13">
      <c r="A13" s="11" t="inlineStr">
        <is>
          <t>AH2-CB-TRIP</t>
        </is>
      </c>
      <c r="B13" s="11" t="inlineStr">
        <is>
          <t>Circuit breaker tripped by protection</t>
        </is>
      </c>
      <c r="C13" s="11" t="inlineStr">
        <is>
          <t>11 kV panel AH2, PV incomer</t>
        </is>
      </c>
      <c r="D13" s="11" t="inlineStr">
        <is>
          <t>11 kV switchroom</t>
        </is>
      </c>
      <c r="E13" s="11" t="inlineStr">
        <is>
          <t>DI</t>
        </is>
      </c>
      <c r="F13" s="11" t="n">
        <v>1</v>
      </c>
      <c r="G13" s="11" t="inlineStr">
        <is>
          <t>R1-DI01</t>
        </is>
      </c>
      <c r="H13" s="11" t="inlineStr">
        <is>
          <t>DI-8112</t>
        </is>
      </c>
      <c r="I13" s="11" t="n">
        <v>12</v>
      </c>
      <c r="J13" s="11" t="inlineStr">
        <is>
          <t>Normally open</t>
        </is>
      </c>
      <c r="K13" s="11" t="inlineStr">
        <is>
          <t>1</t>
        </is>
      </c>
      <c r="L13" s="11" t="inlineStr">
        <is>
          <t>-</t>
        </is>
      </c>
      <c r="M13" s="11" t="n"/>
    </row>
    <row r="14">
      <c r="A14" s="11" t="inlineStr">
        <is>
          <t>AH2-ES-CLSD</t>
        </is>
      </c>
      <c r="B14" s="11" t="inlineStr">
        <is>
          <t>Earth switch closed</t>
        </is>
      </c>
      <c r="C14" s="11" t="inlineStr">
        <is>
          <t>11 kV panel AH2, PV incomer</t>
        </is>
      </c>
      <c r="D14" s="11" t="inlineStr">
        <is>
          <t>11 kV switchroom</t>
        </is>
      </c>
      <c r="E14" s="11" t="inlineStr">
        <is>
          <t>DI</t>
        </is>
      </c>
      <c r="F14" s="11" t="n">
        <v>1</v>
      </c>
      <c r="G14" s="11" t="inlineStr">
        <is>
          <t>R1-DI01</t>
        </is>
      </c>
      <c r="H14" s="11" t="inlineStr">
        <is>
          <t>DI-8112</t>
        </is>
      </c>
      <c r="I14" s="11" t="n">
        <v>13</v>
      </c>
      <c r="J14" s="11" t="inlineStr">
        <is>
          <t>Status</t>
        </is>
      </c>
      <c r="K14" s="11" t="inlineStr">
        <is>
          <t>Status</t>
        </is>
      </c>
      <c r="L14" s="11" t="inlineStr">
        <is>
          <t>-</t>
        </is>
      </c>
      <c r="M14" s="11" t="inlineStr">
        <is>
          <t>Interlock: blocks remote close</t>
        </is>
      </c>
    </row>
    <row r="15" ht="25.5" customHeight="1">
      <c r="A15" s="11" t="inlineStr">
        <is>
          <t>AH2-LR-REM</t>
        </is>
      </c>
      <c r="B15" s="11" t="inlineStr">
        <is>
          <t>Local/remote switch in remote</t>
        </is>
      </c>
      <c r="C15" s="11" t="inlineStr">
        <is>
          <t>11 kV panel AH2, PV incomer</t>
        </is>
      </c>
      <c r="D15" s="11" t="inlineStr">
        <is>
          <t>11 kV switchroom</t>
        </is>
      </c>
      <c r="E15" s="11" t="inlineStr">
        <is>
          <t>DI</t>
        </is>
      </c>
      <c r="F15" s="11" t="n">
        <v>1</v>
      </c>
      <c r="G15" s="11" t="inlineStr">
        <is>
          <t>R1-DI01</t>
        </is>
      </c>
      <c r="H15" s="11" t="inlineStr">
        <is>
          <t>DI-8112</t>
        </is>
      </c>
      <c r="I15" s="11" t="n">
        <v>14</v>
      </c>
      <c r="J15" s="11" t="inlineStr">
        <is>
          <t>Status</t>
        </is>
      </c>
      <c r="K15" s="11" t="inlineStr">
        <is>
          <t>Status</t>
        </is>
      </c>
      <c r="L15" s="11" t="inlineStr">
        <is>
          <t>-</t>
        </is>
      </c>
      <c r="M15" s="11" t="inlineStr">
        <is>
          <t>Interlock: remote commands only in remote</t>
        </is>
      </c>
    </row>
    <row r="16">
      <c r="A16" s="11" t="inlineStr">
        <is>
          <t>AH2-SPR-CHG</t>
        </is>
      </c>
      <c r="B16" s="11" t="inlineStr">
        <is>
          <t>Closing spring charged</t>
        </is>
      </c>
      <c r="C16" s="11" t="inlineStr">
        <is>
          <t>11 kV panel AH2, PV incomer</t>
        </is>
      </c>
      <c r="D16" s="11" t="inlineStr">
        <is>
          <t>11 kV switchroom</t>
        </is>
      </c>
      <c r="E16" s="11" t="inlineStr">
        <is>
          <t>DI</t>
        </is>
      </c>
      <c r="F16" s="11" t="n">
        <v>1</v>
      </c>
      <c r="G16" s="11" t="inlineStr">
        <is>
          <t>R1-DI01</t>
        </is>
      </c>
      <c r="H16" s="11" t="inlineStr">
        <is>
          <t>DI-8112</t>
        </is>
      </c>
      <c r="I16" s="11" t="n">
        <v>15</v>
      </c>
      <c r="J16" s="11" t="inlineStr">
        <is>
          <t>Normally closed</t>
        </is>
      </c>
      <c r="K16" s="11" t="inlineStr">
        <is>
          <t>3</t>
        </is>
      </c>
      <c r="L16" s="11" t="inlineStr">
        <is>
          <t>-</t>
        </is>
      </c>
      <c r="M16" s="11" t="n"/>
    </row>
    <row r="17">
      <c r="A17" s="11" t="inlineStr">
        <is>
          <t>AH2-GAS-LOW</t>
        </is>
      </c>
      <c r="B17" s="11" t="inlineStr">
        <is>
          <t>Gas pressure low</t>
        </is>
      </c>
      <c r="C17" s="11" t="inlineStr">
        <is>
          <t>11 kV panel AH2, PV incomer</t>
        </is>
      </c>
      <c r="D17" s="11" t="inlineStr">
        <is>
          <t>11 kV switchroom</t>
        </is>
      </c>
      <c r="E17" s="11" t="inlineStr">
        <is>
          <t>DI</t>
        </is>
      </c>
      <c r="F17" s="11" t="n">
        <v>1</v>
      </c>
      <c r="G17" s="11" t="inlineStr">
        <is>
          <t>R1-DI01</t>
        </is>
      </c>
      <c r="H17" s="11" t="inlineStr">
        <is>
          <t>DI-8112</t>
        </is>
      </c>
      <c r="I17" s="11" t="n">
        <v>16</v>
      </c>
      <c r="J17" s="11" t="inlineStr">
        <is>
          <t>Normally open</t>
        </is>
      </c>
      <c r="K17" s="11" t="inlineStr">
        <is>
          <t>2</t>
        </is>
      </c>
      <c r="L17" s="11" t="inlineStr">
        <is>
          <t>-</t>
        </is>
      </c>
      <c r="M17" s="11" t="n"/>
    </row>
    <row r="18">
      <c r="A18" s="11" t="inlineStr">
        <is>
          <t>AH2-RLY-OK</t>
        </is>
      </c>
      <c r="B18" s="11" t="inlineStr">
        <is>
          <t>Protection relay healthy</t>
        </is>
      </c>
      <c r="C18" s="11" t="inlineStr">
        <is>
          <t>11 kV panel AH2, PV incomer</t>
        </is>
      </c>
      <c r="D18" s="11" t="inlineStr">
        <is>
          <t>11 kV switchroom</t>
        </is>
      </c>
      <c r="E18" s="11" t="inlineStr">
        <is>
          <t>DI</t>
        </is>
      </c>
      <c r="F18" s="11" t="n">
        <v>1</v>
      </c>
      <c r="G18" s="11" t="inlineStr">
        <is>
          <t>R1-DI02</t>
        </is>
      </c>
      <c r="H18" s="11" t="inlineStr">
        <is>
          <t>DI-8112</t>
        </is>
      </c>
      <c r="I18" s="11" t="n">
        <v>1</v>
      </c>
      <c r="J18" s="11" t="inlineStr">
        <is>
          <t>Normally closed</t>
        </is>
      </c>
      <c r="K18" s="11" t="inlineStr">
        <is>
          <t>2</t>
        </is>
      </c>
      <c r="L18" s="11" t="inlineStr">
        <is>
          <t>-</t>
        </is>
      </c>
      <c r="M18" s="11" t="n"/>
    </row>
    <row r="19">
      <c r="A19" s="11" t="inlineStr">
        <is>
          <t>AH2-AUX-OK</t>
        </is>
      </c>
      <c r="B19" s="11" t="inlineStr">
        <is>
          <t>Control supply healthy</t>
        </is>
      </c>
      <c r="C19" s="11" t="inlineStr">
        <is>
          <t>11 kV panel AH2, PV incomer</t>
        </is>
      </c>
      <c r="D19" s="11" t="inlineStr">
        <is>
          <t>11 kV switchroom</t>
        </is>
      </c>
      <c r="E19" s="11" t="inlineStr">
        <is>
          <t>DI</t>
        </is>
      </c>
      <c r="F19" s="11" t="n">
        <v>1</v>
      </c>
      <c r="G19" s="11" t="inlineStr">
        <is>
          <t>R1-DI02</t>
        </is>
      </c>
      <c r="H19" s="11" t="inlineStr">
        <is>
          <t>DI-8112</t>
        </is>
      </c>
      <c r="I19" s="11" t="n">
        <v>2</v>
      </c>
      <c r="J19" s="11" t="inlineStr">
        <is>
          <t>Normally closed</t>
        </is>
      </c>
      <c r="K19" s="11" t="inlineStr">
        <is>
          <t>2</t>
        </is>
      </c>
      <c r="L19" s="11" t="inlineStr">
        <is>
          <t>-</t>
        </is>
      </c>
      <c r="M19" s="11" t="n"/>
    </row>
    <row r="20" ht="25.5" customHeight="1">
      <c r="A20" s="11" t="inlineStr">
        <is>
          <t>AH3-CB-OPEN</t>
        </is>
      </c>
      <c r="B20" s="11" t="inlineStr">
        <is>
          <t>Circuit breaker open</t>
        </is>
      </c>
      <c r="C20" s="11" t="inlineStr">
        <is>
          <t>11 kV panel AH3, BESS incomer</t>
        </is>
      </c>
      <c r="D20" s="11" t="inlineStr">
        <is>
          <t>11 kV switchroom</t>
        </is>
      </c>
      <c r="E20" s="11" t="inlineStr">
        <is>
          <t>DI</t>
        </is>
      </c>
      <c r="F20" s="11" t="n">
        <v>1</v>
      </c>
      <c r="G20" s="11" t="inlineStr">
        <is>
          <t>R1-DI02</t>
        </is>
      </c>
      <c r="H20" s="11" t="inlineStr">
        <is>
          <t>DI-8112</t>
        </is>
      </c>
      <c r="I20" s="11" t="n">
        <v>3</v>
      </c>
      <c r="J20" s="11" t="inlineStr">
        <is>
          <t>Status</t>
        </is>
      </c>
      <c r="K20" s="11" t="inlineStr">
        <is>
          <t>Status</t>
        </is>
      </c>
      <c r="L20" s="11" t="inlineStr">
        <is>
          <t>-</t>
        </is>
      </c>
      <c r="M20" s="11" t="n"/>
    </row>
    <row r="21" ht="25.5" customHeight="1">
      <c r="A21" s="11" t="inlineStr">
        <is>
          <t>AH3-CB-CLSD</t>
        </is>
      </c>
      <c r="B21" s="11" t="inlineStr">
        <is>
          <t>Circuit breaker closed</t>
        </is>
      </c>
      <c r="C21" s="11" t="inlineStr">
        <is>
          <t>11 kV panel AH3, BESS incomer</t>
        </is>
      </c>
      <c r="D21" s="11" t="inlineStr">
        <is>
          <t>11 kV switchroom</t>
        </is>
      </c>
      <c r="E21" s="11" t="inlineStr">
        <is>
          <t>DI</t>
        </is>
      </c>
      <c r="F21" s="11" t="n">
        <v>1</v>
      </c>
      <c r="G21" s="11" t="inlineStr">
        <is>
          <t>R1-DI02</t>
        </is>
      </c>
      <c r="H21" s="11" t="inlineStr">
        <is>
          <t>DI-8112</t>
        </is>
      </c>
      <c r="I21" s="11" t="n">
        <v>4</v>
      </c>
      <c r="J21" s="11" t="inlineStr">
        <is>
          <t>Status</t>
        </is>
      </c>
      <c r="K21" s="11" t="inlineStr">
        <is>
          <t>Status</t>
        </is>
      </c>
      <c r="L21" s="11" t="inlineStr">
        <is>
          <t>-</t>
        </is>
      </c>
      <c r="M21" s="11" t="n"/>
    </row>
    <row r="22" ht="25.5" customHeight="1">
      <c r="A22" s="11" t="inlineStr">
        <is>
          <t>AH3-CB-TRIP</t>
        </is>
      </c>
      <c r="B22" s="11" t="inlineStr">
        <is>
          <t>Circuit breaker tripped by protection</t>
        </is>
      </c>
      <c r="C22" s="11" t="inlineStr">
        <is>
          <t>11 kV panel AH3, BESS incomer</t>
        </is>
      </c>
      <c r="D22" s="11" t="inlineStr">
        <is>
          <t>11 kV switchroom</t>
        </is>
      </c>
      <c r="E22" s="11" t="inlineStr">
        <is>
          <t>DI</t>
        </is>
      </c>
      <c r="F22" s="11" t="n">
        <v>1</v>
      </c>
      <c r="G22" s="11" t="inlineStr">
        <is>
          <t>R1-DI02</t>
        </is>
      </c>
      <c r="H22" s="11" t="inlineStr">
        <is>
          <t>DI-8112</t>
        </is>
      </c>
      <c r="I22" s="11" t="n">
        <v>5</v>
      </c>
      <c r="J22" s="11" t="inlineStr">
        <is>
          <t>Normally open</t>
        </is>
      </c>
      <c r="K22" s="11" t="inlineStr">
        <is>
          <t>1</t>
        </is>
      </c>
      <c r="L22" s="11" t="inlineStr">
        <is>
          <t>-</t>
        </is>
      </c>
      <c r="M22" s="11" t="n"/>
    </row>
    <row r="23" ht="25.5" customHeight="1">
      <c r="A23" s="11" t="inlineStr">
        <is>
          <t>AH3-ES-CLSD</t>
        </is>
      </c>
      <c r="B23" s="11" t="inlineStr">
        <is>
          <t>Earth switch closed</t>
        </is>
      </c>
      <c r="C23" s="11" t="inlineStr">
        <is>
          <t>11 kV panel AH3, BESS incomer</t>
        </is>
      </c>
      <c r="D23" s="11" t="inlineStr">
        <is>
          <t>11 kV switchroom</t>
        </is>
      </c>
      <c r="E23" s="11" t="inlineStr">
        <is>
          <t>DI</t>
        </is>
      </c>
      <c r="F23" s="11" t="n">
        <v>1</v>
      </c>
      <c r="G23" s="11" t="inlineStr">
        <is>
          <t>R1-DI02</t>
        </is>
      </c>
      <c r="H23" s="11" t="inlineStr">
        <is>
          <t>DI-8112</t>
        </is>
      </c>
      <c r="I23" s="11" t="n">
        <v>6</v>
      </c>
      <c r="J23" s="11" t="inlineStr">
        <is>
          <t>Status</t>
        </is>
      </c>
      <c r="K23" s="11" t="inlineStr">
        <is>
          <t>Status</t>
        </is>
      </c>
      <c r="L23" s="11" t="inlineStr">
        <is>
          <t>-</t>
        </is>
      </c>
      <c r="M23" s="11" t="inlineStr">
        <is>
          <t>Interlock: blocks remote close</t>
        </is>
      </c>
    </row>
    <row r="24" ht="25.5" customHeight="1">
      <c r="A24" s="11" t="inlineStr">
        <is>
          <t>AH3-LR-REM</t>
        </is>
      </c>
      <c r="B24" s="11" t="inlineStr">
        <is>
          <t>Local/remote switch in remote</t>
        </is>
      </c>
      <c r="C24" s="11" t="inlineStr">
        <is>
          <t>11 kV panel AH3, BESS incomer</t>
        </is>
      </c>
      <c r="D24" s="11" t="inlineStr">
        <is>
          <t>11 kV switchroom</t>
        </is>
      </c>
      <c r="E24" s="11" t="inlineStr">
        <is>
          <t>DI</t>
        </is>
      </c>
      <c r="F24" s="11" t="n">
        <v>1</v>
      </c>
      <c r="G24" s="11" t="inlineStr">
        <is>
          <t>R1-DI02</t>
        </is>
      </c>
      <c r="H24" s="11" t="inlineStr">
        <is>
          <t>DI-8112</t>
        </is>
      </c>
      <c r="I24" s="11" t="n">
        <v>7</v>
      </c>
      <c r="J24" s="11" t="inlineStr">
        <is>
          <t>Status</t>
        </is>
      </c>
      <c r="K24" s="11" t="inlineStr">
        <is>
          <t>Status</t>
        </is>
      </c>
      <c r="L24" s="11" t="inlineStr">
        <is>
          <t>-</t>
        </is>
      </c>
      <c r="M24" s="11" t="inlineStr">
        <is>
          <t>Interlock: remote commands only in remote</t>
        </is>
      </c>
    </row>
    <row r="25" ht="25.5" customHeight="1">
      <c r="A25" s="11" t="inlineStr">
        <is>
          <t>AH3-SPR-CHG</t>
        </is>
      </c>
      <c r="B25" s="11" t="inlineStr">
        <is>
          <t>Closing spring charged</t>
        </is>
      </c>
      <c r="C25" s="11" t="inlineStr">
        <is>
          <t>11 kV panel AH3, BESS incomer</t>
        </is>
      </c>
      <c r="D25" s="11" t="inlineStr">
        <is>
          <t>11 kV switchroom</t>
        </is>
      </c>
      <c r="E25" s="11" t="inlineStr">
        <is>
          <t>DI</t>
        </is>
      </c>
      <c r="F25" s="11" t="n">
        <v>1</v>
      </c>
      <c r="G25" s="11" t="inlineStr">
        <is>
          <t>R1-DI02</t>
        </is>
      </c>
      <c r="H25" s="11" t="inlineStr">
        <is>
          <t>DI-8112</t>
        </is>
      </c>
      <c r="I25" s="11" t="n">
        <v>8</v>
      </c>
      <c r="J25" s="11" t="inlineStr">
        <is>
          <t>Normally closed</t>
        </is>
      </c>
      <c r="K25" s="11" t="inlineStr">
        <is>
          <t>3</t>
        </is>
      </c>
      <c r="L25" s="11" t="inlineStr">
        <is>
          <t>-</t>
        </is>
      </c>
      <c r="M25" s="11" t="n"/>
    </row>
    <row r="26" ht="25.5" customHeight="1">
      <c r="A26" s="11" t="inlineStr">
        <is>
          <t>AH3-GAS-LOW</t>
        </is>
      </c>
      <c r="B26" s="11" t="inlineStr">
        <is>
          <t>Gas pressure low</t>
        </is>
      </c>
      <c r="C26" s="11" t="inlineStr">
        <is>
          <t>11 kV panel AH3, BESS incomer</t>
        </is>
      </c>
      <c r="D26" s="11" t="inlineStr">
        <is>
          <t>11 kV switchroom</t>
        </is>
      </c>
      <c r="E26" s="11" t="inlineStr">
        <is>
          <t>DI</t>
        </is>
      </c>
      <c r="F26" s="11" t="n">
        <v>1</v>
      </c>
      <c r="G26" s="11" t="inlineStr">
        <is>
          <t>R1-DI02</t>
        </is>
      </c>
      <c r="H26" s="11" t="inlineStr">
        <is>
          <t>DI-8112</t>
        </is>
      </c>
      <c r="I26" s="11" t="n">
        <v>9</v>
      </c>
      <c r="J26" s="11" t="inlineStr">
        <is>
          <t>Normally open</t>
        </is>
      </c>
      <c r="K26" s="11" t="inlineStr">
        <is>
          <t>2</t>
        </is>
      </c>
      <c r="L26" s="11" t="inlineStr">
        <is>
          <t>-</t>
        </is>
      </c>
      <c r="M26" s="11" t="n"/>
    </row>
    <row r="27" ht="25.5" customHeight="1">
      <c r="A27" s="11" t="inlineStr">
        <is>
          <t>AH3-RLY-OK</t>
        </is>
      </c>
      <c r="B27" s="11" t="inlineStr">
        <is>
          <t>Protection relay healthy</t>
        </is>
      </c>
      <c r="C27" s="11" t="inlineStr">
        <is>
          <t>11 kV panel AH3, BESS incomer</t>
        </is>
      </c>
      <c r="D27" s="11" t="inlineStr">
        <is>
          <t>11 kV switchroom</t>
        </is>
      </c>
      <c r="E27" s="11" t="inlineStr">
        <is>
          <t>DI</t>
        </is>
      </c>
      <c r="F27" s="11" t="n">
        <v>1</v>
      </c>
      <c r="G27" s="11" t="inlineStr">
        <is>
          <t>R1-DI02</t>
        </is>
      </c>
      <c r="H27" s="11" t="inlineStr">
        <is>
          <t>DI-8112</t>
        </is>
      </c>
      <c r="I27" s="11" t="n">
        <v>10</v>
      </c>
      <c r="J27" s="11" t="inlineStr">
        <is>
          <t>Normally closed</t>
        </is>
      </c>
      <c r="K27" s="11" t="inlineStr">
        <is>
          <t>2</t>
        </is>
      </c>
      <c r="L27" s="11" t="inlineStr">
        <is>
          <t>-</t>
        </is>
      </c>
      <c r="M27" s="11" t="n"/>
    </row>
    <row r="28" ht="25.5" customHeight="1">
      <c r="A28" s="11" t="inlineStr">
        <is>
          <t>AH3-AUX-OK</t>
        </is>
      </c>
      <c r="B28" s="11" t="inlineStr">
        <is>
          <t>Control supply healthy</t>
        </is>
      </c>
      <c r="C28" s="11" t="inlineStr">
        <is>
          <t>11 kV panel AH3, BESS incomer</t>
        </is>
      </c>
      <c r="D28" s="11" t="inlineStr">
        <is>
          <t>11 kV switchroom</t>
        </is>
      </c>
      <c r="E28" s="11" t="inlineStr">
        <is>
          <t>DI</t>
        </is>
      </c>
      <c r="F28" s="11" t="n">
        <v>1</v>
      </c>
      <c r="G28" s="11" t="inlineStr">
        <is>
          <t>R1-DI02</t>
        </is>
      </c>
      <c r="H28" s="11" t="inlineStr">
        <is>
          <t>DI-8112</t>
        </is>
      </c>
      <c r="I28" s="11" t="n">
        <v>11</v>
      </c>
      <c r="J28" s="11" t="inlineStr">
        <is>
          <t>Normally closed</t>
        </is>
      </c>
      <c r="K28" s="11" t="inlineStr">
        <is>
          <t>2</t>
        </is>
      </c>
      <c r="L28" s="11" t="inlineStr">
        <is>
          <t>-</t>
        </is>
      </c>
      <c r="M28" s="11" t="n"/>
    </row>
    <row r="29" ht="25.5" customHeight="1">
      <c r="A29" s="11" t="inlineStr">
        <is>
          <t>AH4-CB-OPEN</t>
        </is>
      </c>
      <c r="B29" s="11" t="inlineStr">
        <is>
          <t>Circuit breaker open</t>
        </is>
      </c>
      <c r="C29" s="11" t="inlineStr">
        <is>
          <t>11 kV panel AH4, President feeder</t>
        </is>
      </c>
      <c r="D29" s="11" t="inlineStr">
        <is>
          <t>11 kV switchroom</t>
        </is>
      </c>
      <c r="E29" s="11" t="inlineStr">
        <is>
          <t>DI</t>
        </is>
      </c>
      <c r="F29" s="11" t="n">
        <v>1</v>
      </c>
      <c r="G29" s="11" t="inlineStr">
        <is>
          <t>R1-DI02</t>
        </is>
      </c>
      <c r="H29" s="11" t="inlineStr">
        <is>
          <t>DI-8112</t>
        </is>
      </c>
      <c r="I29" s="11" t="n">
        <v>12</v>
      </c>
      <c r="J29" s="11" t="inlineStr">
        <is>
          <t>Status</t>
        </is>
      </c>
      <c r="K29" s="11" t="inlineStr">
        <is>
          <t>Status</t>
        </is>
      </c>
      <c r="L29" s="11" t="inlineStr">
        <is>
          <t>-</t>
        </is>
      </c>
      <c r="M29" s="11" t="n"/>
    </row>
    <row r="30" ht="25.5" customHeight="1">
      <c r="A30" s="11" t="inlineStr">
        <is>
          <t>AH4-CB-CLSD</t>
        </is>
      </c>
      <c r="B30" s="11" t="inlineStr">
        <is>
          <t>Circuit breaker closed</t>
        </is>
      </c>
      <c r="C30" s="11" t="inlineStr">
        <is>
          <t>11 kV panel AH4, President feeder</t>
        </is>
      </c>
      <c r="D30" s="11" t="inlineStr">
        <is>
          <t>11 kV switchroom</t>
        </is>
      </c>
      <c r="E30" s="11" t="inlineStr">
        <is>
          <t>DI</t>
        </is>
      </c>
      <c r="F30" s="11" t="n">
        <v>1</v>
      </c>
      <c r="G30" s="11" t="inlineStr">
        <is>
          <t>R1-DI02</t>
        </is>
      </c>
      <c r="H30" s="11" t="inlineStr">
        <is>
          <t>DI-8112</t>
        </is>
      </c>
      <c r="I30" s="11" t="n">
        <v>13</v>
      </c>
      <c r="J30" s="11" t="inlineStr">
        <is>
          <t>Status</t>
        </is>
      </c>
      <c r="K30" s="11" t="inlineStr">
        <is>
          <t>Status</t>
        </is>
      </c>
      <c r="L30" s="11" t="inlineStr">
        <is>
          <t>-</t>
        </is>
      </c>
      <c r="M30" s="11" t="n"/>
    </row>
    <row r="31" ht="25.5" customHeight="1">
      <c r="A31" s="11" t="inlineStr">
        <is>
          <t>AH4-CB-TRIP</t>
        </is>
      </c>
      <c r="B31" s="11" t="inlineStr">
        <is>
          <t>Circuit breaker tripped by protection</t>
        </is>
      </c>
      <c r="C31" s="11" t="inlineStr">
        <is>
          <t>11 kV panel AH4, President feeder</t>
        </is>
      </c>
      <c r="D31" s="11" t="inlineStr">
        <is>
          <t>11 kV switchroom</t>
        </is>
      </c>
      <c r="E31" s="11" t="inlineStr">
        <is>
          <t>DI</t>
        </is>
      </c>
      <c r="F31" s="11" t="n">
        <v>1</v>
      </c>
      <c r="G31" s="11" t="inlineStr">
        <is>
          <t>R1-DI02</t>
        </is>
      </c>
      <c r="H31" s="11" t="inlineStr">
        <is>
          <t>DI-8112</t>
        </is>
      </c>
      <c r="I31" s="11" t="n">
        <v>14</v>
      </c>
      <c r="J31" s="11" t="inlineStr">
        <is>
          <t>Normally open</t>
        </is>
      </c>
      <c r="K31" s="11" t="inlineStr">
        <is>
          <t>1</t>
        </is>
      </c>
      <c r="L31" s="11" t="inlineStr">
        <is>
          <t>-</t>
        </is>
      </c>
      <c r="M31" s="11" t="n"/>
    </row>
    <row r="32" ht="25.5" customHeight="1">
      <c r="A32" s="11" t="inlineStr">
        <is>
          <t>AH4-ES-CLSD</t>
        </is>
      </c>
      <c r="B32" s="11" t="inlineStr">
        <is>
          <t>Earth switch closed</t>
        </is>
      </c>
      <c r="C32" s="11" t="inlineStr">
        <is>
          <t>11 kV panel AH4, President feeder</t>
        </is>
      </c>
      <c r="D32" s="11" t="inlineStr">
        <is>
          <t>11 kV switchroom</t>
        </is>
      </c>
      <c r="E32" s="11" t="inlineStr">
        <is>
          <t>DI</t>
        </is>
      </c>
      <c r="F32" s="11" t="n">
        <v>1</v>
      </c>
      <c r="G32" s="11" t="inlineStr">
        <is>
          <t>R1-DI02</t>
        </is>
      </c>
      <c r="H32" s="11" t="inlineStr">
        <is>
          <t>DI-8112</t>
        </is>
      </c>
      <c r="I32" s="11" t="n">
        <v>15</v>
      </c>
      <c r="J32" s="11" t="inlineStr">
        <is>
          <t>Status</t>
        </is>
      </c>
      <c r="K32" s="11" t="inlineStr">
        <is>
          <t>Status</t>
        </is>
      </c>
      <c r="L32" s="11" t="inlineStr">
        <is>
          <t>-</t>
        </is>
      </c>
      <c r="M32" s="11" t="inlineStr">
        <is>
          <t>Interlock: blocks remote close</t>
        </is>
      </c>
    </row>
    <row r="33" ht="25.5" customHeight="1">
      <c r="A33" s="11" t="inlineStr">
        <is>
          <t>AH4-LR-REM</t>
        </is>
      </c>
      <c r="B33" s="11" t="inlineStr">
        <is>
          <t>Local/remote switch in remote</t>
        </is>
      </c>
      <c r="C33" s="11" t="inlineStr">
        <is>
          <t>11 kV panel AH4, President feeder</t>
        </is>
      </c>
      <c r="D33" s="11" t="inlineStr">
        <is>
          <t>11 kV switchroom</t>
        </is>
      </c>
      <c r="E33" s="11" t="inlineStr">
        <is>
          <t>DI</t>
        </is>
      </c>
      <c r="F33" s="11" t="n">
        <v>1</v>
      </c>
      <c r="G33" s="11" t="inlineStr">
        <is>
          <t>R1-DI02</t>
        </is>
      </c>
      <c r="H33" s="11" t="inlineStr">
        <is>
          <t>DI-8112</t>
        </is>
      </c>
      <c r="I33" s="11" t="n">
        <v>16</v>
      </c>
      <c r="J33" s="11" t="inlineStr">
        <is>
          <t>Status</t>
        </is>
      </c>
      <c r="K33" s="11" t="inlineStr">
        <is>
          <t>Status</t>
        </is>
      </c>
      <c r="L33" s="11" t="inlineStr">
        <is>
          <t>-</t>
        </is>
      </c>
      <c r="M33" s="11" t="inlineStr">
        <is>
          <t>Interlock: remote commands only in remote</t>
        </is>
      </c>
    </row>
    <row r="34" ht="25.5" customHeight="1">
      <c r="A34" s="11" t="inlineStr">
        <is>
          <t>AH4-SPR-CHG</t>
        </is>
      </c>
      <c r="B34" s="11" t="inlineStr">
        <is>
          <t>Closing spring charged</t>
        </is>
      </c>
      <c r="C34" s="11" t="inlineStr">
        <is>
          <t>11 kV panel AH4, President feeder</t>
        </is>
      </c>
      <c r="D34" s="11" t="inlineStr">
        <is>
          <t>11 kV switchroom</t>
        </is>
      </c>
      <c r="E34" s="11" t="inlineStr">
        <is>
          <t>DI</t>
        </is>
      </c>
      <c r="F34" s="11" t="n">
        <v>1</v>
      </c>
      <c r="G34" s="11" t="inlineStr">
        <is>
          <t>R1-DI03</t>
        </is>
      </c>
      <c r="H34" s="11" t="inlineStr">
        <is>
          <t>DI-8112</t>
        </is>
      </c>
      <c r="I34" s="11" t="n">
        <v>1</v>
      </c>
      <c r="J34" s="11" t="inlineStr">
        <is>
          <t>Normally closed</t>
        </is>
      </c>
      <c r="K34" s="11" t="inlineStr">
        <is>
          <t>3</t>
        </is>
      </c>
      <c r="L34" s="11" t="inlineStr">
        <is>
          <t>-</t>
        </is>
      </c>
      <c r="M34" s="11" t="n"/>
    </row>
    <row r="35" ht="25.5" customHeight="1">
      <c r="A35" s="11" t="inlineStr">
        <is>
          <t>AH4-GAS-LOW</t>
        </is>
      </c>
      <c r="B35" s="11" t="inlineStr">
        <is>
          <t>Gas pressure low</t>
        </is>
      </c>
      <c r="C35" s="11" t="inlineStr">
        <is>
          <t>11 kV panel AH4, President feeder</t>
        </is>
      </c>
      <c r="D35" s="11" t="inlineStr">
        <is>
          <t>11 kV switchroom</t>
        </is>
      </c>
      <c r="E35" s="11" t="inlineStr">
        <is>
          <t>DI</t>
        </is>
      </c>
      <c r="F35" s="11" t="n">
        <v>1</v>
      </c>
      <c r="G35" s="11" t="inlineStr">
        <is>
          <t>R1-DI03</t>
        </is>
      </c>
      <c r="H35" s="11" t="inlineStr">
        <is>
          <t>DI-8112</t>
        </is>
      </c>
      <c r="I35" s="11" t="n">
        <v>2</v>
      </c>
      <c r="J35" s="11" t="inlineStr">
        <is>
          <t>Normally open</t>
        </is>
      </c>
      <c r="K35" s="11" t="inlineStr">
        <is>
          <t>2</t>
        </is>
      </c>
      <c r="L35" s="11" t="inlineStr">
        <is>
          <t>-</t>
        </is>
      </c>
      <c r="M35" s="11" t="n"/>
    </row>
    <row r="36" ht="25.5" customHeight="1">
      <c r="A36" s="11" t="inlineStr">
        <is>
          <t>AH4-RLY-OK</t>
        </is>
      </c>
      <c r="B36" s="11" t="inlineStr">
        <is>
          <t>Protection relay healthy</t>
        </is>
      </c>
      <c r="C36" s="11" t="inlineStr">
        <is>
          <t>11 kV panel AH4, President feeder</t>
        </is>
      </c>
      <c r="D36" s="11" t="inlineStr">
        <is>
          <t>11 kV switchroom</t>
        </is>
      </c>
      <c r="E36" s="11" t="inlineStr">
        <is>
          <t>DI</t>
        </is>
      </c>
      <c r="F36" s="11" t="n">
        <v>1</v>
      </c>
      <c r="G36" s="11" t="inlineStr">
        <is>
          <t>R1-DI03</t>
        </is>
      </c>
      <c r="H36" s="11" t="inlineStr">
        <is>
          <t>DI-8112</t>
        </is>
      </c>
      <c r="I36" s="11" t="n">
        <v>3</v>
      </c>
      <c r="J36" s="11" t="inlineStr">
        <is>
          <t>Normally closed</t>
        </is>
      </c>
      <c r="K36" s="11" t="inlineStr">
        <is>
          <t>2</t>
        </is>
      </c>
      <c r="L36" s="11" t="inlineStr">
        <is>
          <t>-</t>
        </is>
      </c>
      <c r="M36" s="11" t="n"/>
    </row>
    <row r="37" ht="25.5" customHeight="1">
      <c r="A37" s="11" t="inlineStr">
        <is>
          <t>AH4-AUX-OK</t>
        </is>
      </c>
      <c r="B37" s="11" t="inlineStr">
        <is>
          <t>Control supply healthy</t>
        </is>
      </c>
      <c r="C37" s="11" t="inlineStr">
        <is>
          <t>11 kV panel AH4, President feeder</t>
        </is>
      </c>
      <c r="D37" s="11" t="inlineStr">
        <is>
          <t>11 kV switchroom</t>
        </is>
      </c>
      <c r="E37" s="11" t="inlineStr">
        <is>
          <t>DI</t>
        </is>
      </c>
      <c r="F37" s="11" t="n">
        <v>1</v>
      </c>
      <c r="G37" s="11" t="inlineStr">
        <is>
          <t>R1-DI03</t>
        </is>
      </c>
      <c r="H37" s="11" t="inlineStr">
        <is>
          <t>DI-8112</t>
        </is>
      </c>
      <c r="I37" s="11" t="n">
        <v>4</v>
      </c>
      <c r="J37" s="11" t="inlineStr">
        <is>
          <t>Normally closed</t>
        </is>
      </c>
      <c r="K37" s="11" t="inlineStr">
        <is>
          <t>2</t>
        </is>
      </c>
      <c r="L37" s="11" t="inlineStr">
        <is>
          <t>-</t>
        </is>
      </c>
      <c r="M37" s="11" t="n"/>
    </row>
    <row r="38" ht="25.5" customHeight="1">
      <c r="A38" s="11" t="inlineStr">
        <is>
          <t>AH5-CB-OPEN</t>
        </is>
      </c>
      <c r="B38" s="11" t="inlineStr">
        <is>
          <t>Circuit breaker open</t>
        </is>
      </c>
      <c r="C38" s="11" t="inlineStr">
        <is>
          <t>11 kV panel AH5, Auxiliary transformer feeder</t>
        </is>
      </c>
      <c r="D38" s="11" t="inlineStr">
        <is>
          <t>11 kV switchroom</t>
        </is>
      </c>
      <c r="E38" s="11" t="inlineStr">
        <is>
          <t>DI</t>
        </is>
      </c>
      <c r="F38" s="11" t="n">
        <v>1</v>
      </c>
      <c r="G38" s="11" t="inlineStr">
        <is>
          <t>R1-DI03</t>
        </is>
      </c>
      <c r="H38" s="11" t="inlineStr">
        <is>
          <t>DI-8112</t>
        </is>
      </c>
      <c r="I38" s="11" t="n">
        <v>5</v>
      </c>
      <c r="J38" s="11" t="inlineStr">
        <is>
          <t>Status</t>
        </is>
      </c>
      <c r="K38" s="11" t="inlineStr">
        <is>
          <t>Status</t>
        </is>
      </c>
      <c r="L38" s="11" t="inlineStr">
        <is>
          <t>-</t>
        </is>
      </c>
      <c r="M38" s="11" t="n"/>
    </row>
    <row r="39" ht="25.5" customHeight="1">
      <c r="A39" s="11" t="inlineStr">
        <is>
          <t>AH5-CB-CLSD</t>
        </is>
      </c>
      <c r="B39" s="11" t="inlineStr">
        <is>
          <t>Circuit breaker closed</t>
        </is>
      </c>
      <c r="C39" s="11" t="inlineStr">
        <is>
          <t>11 kV panel AH5, Auxiliary transformer feeder</t>
        </is>
      </c>
      <c r="D39" s="11" t="inlineStr">
        <is>
          <t>11 kV switchroom</t>
        </is>
      </c>
      <c r="E39" s="11" t="inlineStr">
        <is>
          <t>DI</t>
        </is>
      </c>
      <c r="F39" s="11" t="n">
        <v>1</v>
      </c>
      <c r="G39" s="11" t="inlineStr">
        <is>
          <t>R1-DI03</t>
        </is>
      </c>
      <c r="H39" s="11" t="inlineStr">
        <is>
          <t>DI-8112</t>
        </is>
      </c>
      <c r="I39" s="11" t="n">
        <v>6</v>
      </c>
      <c r="J39" s="11" t="inlineStr">
        <is>
          <t>Status</t>
        </is>
      </c>
      <c r="K39" s="11" t="inlineStr">
        <is>
          <t>Status</t>
        </is>
      </c>
      <c r="L39" s="11" t="inlineStr">
        <is>
          <t>-</t>
        </is>
      </c>
      <c r="M39" s="11" t="n"/>
    </row>
    <row r="40" ht="25.5" customHeight="1">
      <c r="A40" s="11" t="inlineStr">
        <is>
          <t>AH5-CB-TRIP</t>
        </is>
      </c>
      <c r="B40" s="11" t="inlineStr">
        <is>
          <t>Circuit breaker tripped by protection</t>
        </is>
      </c>
      <c r="C40" s="11" t="inlineStr">
        <is>
          <t>11 kV panel AH5, Auxiliary transformer feeder</t>
        </is>
      </c>
      <c r="D40" s="11" t="inlineStr">
        <is>
          <t>11 kV switchroom</t>
        </is>
      </c>
      <c r="E40" s="11" t="inlineStr">
        <is>
          <t>DI</t>
        </is>
      </c>
      <c r="F40" s="11" t="n">
        <v>1</v>
      </c>
      <c r="G40" s="11" t="inlineStr">
        <is>
          <t>R1-DI03</t>
        </is>
      </c>
      <c r="H40" s="11" t="inlineStr">
        <is>
          <t>DI-8112</t>
        </is>
      </c>
      <c r="I40" s="11" t="n">
        <v>7</v>
      </c>
      <c r="J40" s="11" t="inlineStr">
        <is>
          <t>Normally open</t>
        </is>
      </c>
      <c r="K40" s="11" t="inlineStr">
        <is>
          <t>1</t>
        </is>
      </c>
      <c r="L40" s="11" t="inlineStr">
        <is>
          <t>-</t>
        </is>
      </c>
      <c r="M40" s="11" t="n"/>
    </row>
    <row r="41" ht="25.5" customHeight="1">
      <c r="A41" s="11" t="inlineStr">
        <is>
          <t>AH5-ES-CLSD</t>
        </is>
      </c>
      <c r="B41" s="11" t="inlineStr">
        <is>
          <t>Earth switch closed</t>
        </is>
      </c>
      <c r="C41" s="11" t="inlineStr">
        <is>
          <t>11 kV panel AH5, Auxiliary transformer feeder</t>
        </is>
      </c>
      <c r="D41" s="11" t="inlineStr">
        <is>
          <t>11 kV switchroom</t>
        </is>
      </c>
      <c r="E41" s="11" t="inlineStr">
        <is>
          <t>DI</t>
        </is>
      </c>
      <c r="F41" s="11" t="n">
        <v>1</v>
      </c>
      <c r="G41" s="11" t="inlineStr">
        <is>
          <t>R1-DI03</t>
        </is>
      </c>
      <c r="H41" s="11" t="inlineStr">
        <is>
          <t>DI-8112</t>
        </is>
      </c>
      <c r="I41" s="11" t="n">
        <v>8</v>
      </c>
      <c r="J41" s="11" t="inlineStr">
        <is>
          <t>Status</t>
        </is>
      </c>
      <c r="K41" s="11" t="inlineStr">
        <is>
          <t>Status</t>
        </is>
      </c>
      <c r="L41" s="11" t="inlineStr">
        <is>
          <t>-</t>
        </is>
      </c>
      <c r="M41" s="11" t="inlineStr">
        <is>
          <t>Interlock: blocks remote close</t>
        </is>
      </c>
    </row>
    <row r="42" ht="25.5" customHeight="1">
      <c r="A42" s="11" t="inlineStr">
        <is>
          <t>AH5-LR-REM</t>
        </is>
      </c>
      <c r="B42" s="11" t="inlineStr">
        <is>
          <t>Local/remote switch in remote</t>
        </is>
      </c>
      <c r="C42" s="11" t="inlineStr">
        <is>
          <t>11 kV panel AH5, Auxiliary transformer feeder</t>
        </is>
      </c>
      <c r="D42" s="11" t="inlineStr">
        <is>
          <t>11 kV switchroom</t>
        </is>
      </c>
      <c r="E42" s="11" t="inlineStr">
        <is>
          <t>DI</t>
        </is>
      </c>
      <c r="F42" s="11" t="n">
        <v>1</v>
      </c>
      <c r="G42" s="11" t="inlineStr">
        <is>
          <t>R1-DI03</t>
        </is>
      </c>
      <c r="H42" s="11" t="inlineStr">
        <is>
          <t>DI-8112</t>
        </is>
      </c>
      <c r="I42" s="11" t="n">
        <v>9</v>
      </c>
      <c r="J42" s="11" t="inlineStr">
        <is>
          <t>Status</t>
        </is>
      </c>
      <c r="K42" s="11" t="inlineStr">
        <is>
          <t>Status</t>
        </is>
      </c>
      <c r="L42" s="11" t="inlineStr">
        <is>
          <t>-</t>
        </is>
      </c>
      <c r="M42" s="11" t="inlineStr">
        <is>
          <t>Interlock: remote commands only in remote</t>
        </is>
      </c>
    </row>
    <row r="43" ht="25.5" customHeight="1">
      <c r="A43" s="11" t="inlineStr">
        <is>
          <t>AH5-SPR-CHG</t>
        </is>
      </c>
      <c r="B43" s="11" t="inlineStr">
        <is>
          <t>Closing spring charged</t>
        </is>
      </c>
      <c r="C43" s="11" t="inlineStr">
        <is>
          <t>11 kV panel AH5, Auxiliary transformer feeder</t>
        </is>
      </c>
      <c r="D43" s="11" t="inlineStr">
        <is>
          <t>11 kV switchroom</t>
        </is>
      </c>
      <c r="E43" s="11" t="inlineStr">
        <is>
          <t>DI</t>
        </is>
      </c>
      <c r="F43" s="11" t="n">
        <v>1</v>
      </c>
      <c r="G43" s="11" t="inlineStr">
        <is>
          <t>R1-DI03</t>
        </is>
      </c>
      <c r="H43" s="11" t="inlineStr">
        <is>
          <t>DI-8112</t>
        </is>
      </c>
      <c r="I43" s="11" t="n">
        <v>10</v>
      </c>
      <c r="J43" s="11" t="inlineStr">
        <is>
          <t>Normally closed</t>
        </is>
      </c>
      <c r="K43" s="11" t="inlineStr">
        <is>
          <t>3</t>
        </is>
      </c>
      <c r="L43" s="11" t="inlineStr">
        <is>
          <t>-</t>
        </is>
      </c>
      <c r="M43" s="11" t="n"/>
    </row>
    <row r="44" ht="25.5" customHeight="1">
      <c r="A44" s="11" t="inlineStr">
        <is>
          <t>AH5-GAS-LOW</t>
        </is>
      </c>
      <c r="B44" s="11" t="inlineStr">
        <is>
          <t>Gas pressure low</t>
        </is>
      </c>
      <c r="C44" s="11" t="inlineStr">
        <is>
          <t>11 kV panel AH5, Auxiliary transformer feeder</t>
        </is>
      </c>
      <c r="D44" s="11" t="inlineStr">
        <is>
          <t>11 kV switchroom</t>
        </is>
      </c>
      <c r="E44" s="11" t="inlineStr">
        <is>
          <t>DI</t>
        </is>
      </c>
      <c r="F44" s="11" t="n">
        <v>1</v>
      </c>
      <c r="G44" s="11" t="inlineStr">
        <is>
          <t>R1-DI03</t>
        </is>
      </c>
      <c r="H44" s="11" t="inlineStr">
        <is>
          <t>DI-8112</t>
        </is>
      </c>
      <c r="I44" s="11" t="n">
        <v>11</v>
      </c>
      <c r="J44" s="11" t="inlineStr">
        <is>
          <t>Normally open</t>
        </is>
      </c>
      <c r="K44" s="11" t="inlineStr">
        <is>
          <t>2</t>
        </is>
      </c>
      <c r="L44" s="11" t="inlineStr">
        <is>
          <t>-</t>
        </is>
      </c>
      <c r="M44" s="11" t="n"/>
    </row>
    <row r="45" ht="25.5" customHeight="1">
      <c r="A45" s="11" t="inlineStr">
        <is>
          <t>AH5-RLY-OK</t>
        </is>
      </c>
      <c r="B45" s="11" t="inlineStr">
        <is>
          <t>Protection relay healthy</t>
        </is>
      </c>
      <c r="C45" s="11" t="inlineStr">
        <is>
          <t>11 kV panel AH5, Auxiliary transformer feeder</t>
        </is>
      </c>
      <c r="D45" s="11" t="inlineStr">
        <is>
          <t>11 kV switchroom</t>
        </is>
      </c>
      <c r="E45" s="11" t="inlineStr">
        <is>
          <t>DI</t>
        </is>
      </c>
      <c r="F45" s="11" t="n">
        <v>1</v>
      </c>
      <c r="G45" s="11" t="inlineStr">
        <is>
          <t>R1-DI03</t>
        </is>
      </c>
      <c r="H45" s="11" t="inlineStr">
        <is>
          <t>DI-8112</t>
        </is>
      </c>
      <c r="I45" s="11" t="n">
        <v>12</v>
      </c>
      <c r="J45" s="11" t="inlineStr">
        <is>
          <t>Normally closed</t>
        </is>
      </c>
      <c r="K45" s="11" t="inlineStr">
        <is>
          <t>2</t>
        </is>
      </c>
      <c r="L45" s="11" t="inlineStr">
        <is>
          <t>-</t>
        </is>
      </c>
      <c r="M45" s="11" t="n"/>
    </row>
    <row r="46" ht="25.5" customHeight="1">
      <c r="A46" s="11" t="inlineStr">
        <is>
          <t>AH5-AUX-OK</t>
        </is>
      </c>
      <c r="B46" s="11" t="inlineStr">
        <is>
          <t>Control supply healthy</t>
        </is>
      </c>
      <c r="C46" s="11" t="inlineStr">
        <is>
          <t>11 kV panel AH5, Auxiliary transformer feeder</t>
        </is>
      </c>
      <c r="D46" s="11" t="inlineStr">
        <is>
          <t>11 kV switchroom</t>
        </is>
      </c>
      <c r="E46" s="11" t="inlineStr">
        <is>
          <t>DI</t>
        </is>
      </c>
      <c r="F46" s="11" t="n">
        <v>1</v>
      </c>
      <c r="G46" s="11" t="inlineStr">
        <is>
          <t>R1-DI03</t>
        </is>
      </c>
      <c r="H46" s="11" t="inlineStr">
        <is>
          <t>DI-8112</t>
        </is>
      </c>
      <c r="I46" s="11" t="n">
        <v>13</v>
      </c>
      <c r="J46" s="11" t="inlineStr">
        <is>
          <t>Normally closed</t>
        </is>
      </c>
      <c r="K46" s="11" t="inlineStr">
        <is>
          <t>2</t>
        </is>
      </c>
      <c r="L46" s="11" t="inlineStr">
        <is>
          <t>-</t>
        </is>
      </c>
      <c r="M46" s="11" t="n"/>
    </row>
    <row r="47" ht="25.5" customHeight="1">
      <c r="A47" s="11" t="inlineStr">
        <is>
          <t>AH6-CB-OPEN</t>
        </is>
      </c>
      <c r="B47" s="11" t="inlineStr">
        <is>
          <t>Circuit breaker open</t>
        </is>
      </c>
      <c r="C47" s="11" t="inlineStr">
        <is>
          <t>11 kV panel AH6, Prime Minister feeder</t>
        </is>
      </c>
      <c r="D47" s="11" t="inlineStr">
        <is>
          <t>11 kV switchroom</t>
        </is>
      </c>
      <c r="E47" s="11" t="inlineStr">
        <is>
          <t>DI</t>
        </is>
      </c>
      <c r="F47" s="11" t="n">
        <v>1</v>
      </c>
      <c r="G47" s="11" t="inlineStr">
        <is>
          <t>R1-DI03</t>
        </is>
      </c>
      <c r="H47" s="11" t="inlineStr">
        <is>
          <t>DI-8112</t>
        </is>
      </c>
      <c r="I47" s="11" t="n">
        <v>14</v>
      </c>
      <c r="J47" s="11" t="inlineStr">
        <is>
          <t>Status</t>
        </is>
      </c>
      <c r="K47" s="11" t="inlineStr">
        <is>
          <t>Status</t>
        </is>
      </c>
      <c r="L47" s="11" t="inlineStr">
        <is>
          <t>-</t>
        </is>
      </c>
      <c r="M47" s="11" t="n"/>
    </row>
    <row r="48" ht="25.5" customHeight="1">
      <c r="A48" s="11" t="inlineStr">
        <is>
          <t>AH6-CB-CLSD</t>
        </is>
      </c>
      <c r="B48" s="11" t="inlineStr">
        <is>
          <t>Circuit breaker closed</t>
        </is>
      </c>
      <c r="C48" s="11" t="inlineStr">
        <is>
          <t>11 kV panel AH6, Prime Minister feeder</t>
        </is>
      </c>
      <c r="D48" s="11" t="inlineStr">
        <is>
          <t>11 kV switchroom</t>
        </is>
      </c>
      <c r="E48" s="11" t="inlineStr">
        <is>
          <t>DI</t>
        </is>
      </c>
      <c r="F48" s="11" t="n">
        <v>1</v>
      </c>
      <c r="G48" s="11" t="inlineStr">
        <is>
          <t>R1-DI03</t>
        </is>
      </c>
      <c r="H48" s="11" t="inlineStr">
        <is>
          <t>DI-8112</t>
        </is>
      </c>
      <c r="I48" s="11" t="n">
        <v>15</v>
      </c>
      <c r="J48" s="11" t="inlineStr">
        <is>
          <t>Status</t>
        </is>
      </c>
      <c r="K48" s="11" t="inlineStr">
        <is>
          <t>Status</t>
        </is>
      </c>
      <c r="L48" s="11" t="inlineStr">
        <is>
          <t>-</t>
        </is>
      </c>
      <c r="M48" s="11" t="n"/>
    </row>
    <row r="49" ht="25.5" customHeight="1">
      <c r="A49" s="11" t="inlineStr">
        <is>
          <t>AH6-CB-TRIP</t>
        </is>
      </c>
      <c r="B49" s="11" t="inlineStr">
        <is>
          <t>Circuit breaker tripped by protection</t>
        </is>
      </c>
      <c r="C49" s="11" t="inlineStr">
        <is>
          <t>11 kV panel AH6, Prime Minister feeder</t>
        </is>
      </c>
      <c r="D49" s="11" t="inlineStr">
        <is>
          <t>11 kV switchroom</t>
        </is>
      </c>
      <c r="E49" s="11" t="inlineStr">
        <is>
          <t>DI</t>
        </is>
      </c>
      <c r="F49" s="11" t="n">
        <v>1</v>
      </c>
      <c r="G49" s="11" t="inlineStr">
        <is>
          <t>R1-DI03</t>
        </is>
      </c>
      <c r="H49" s="11" t="inlineStr">
        <is>
          <t>DI-8112</t>
        </is>
      </c>
      <c r="I49" s="11" t="n">
        <v>16</v>
      </c>
      <c r="J49" s="11" t="inlineStr">
        <is>
          <t>Normally open</t>
        </is>
      </c>
      <c r="K49" s="11" t="inlineStr">
        <is>
          <t>1</t>
        </is>
      </c>
      <c r="L49" s="11" t="inlineStr">
        <is>
          <t>-</t>
        </is>
      </c>
      <c r="M49" s="11" t="n"/>
    </row>
    <row r="50" ht="25.5" customHeight="1">
      <c r="A50" s="11" t="inlineStr">
        <is>
          <t>AH6-ES-CLSD</t>
        </is>
      </c>
      <c r="B50" s="11" t="inlineStr">
        <is>
          <t>Earth switch closed</t>
        </is>
      </c>
      <c r="C50" s="11" t="inlineStr">
        <is>
          <t>11 kV panel AH6, Prime Minister feeder</t>
        </is>
      </c>
      <c r="D50" s="11" t="inlineStr">
        <is>
          <t>11 kV switchroom</t>
        </is>
      </c>
      <c r="E50" s="11" t="inlineStr">
        <is>
          <t>DI</t>
        </is>
      </c>
      <c r="F50" s="11" t="n">
        <v>1</v>
      </c>
      <c r="G50" s="11" t="inlineStr">
        <is>
          <t>R1-DI04</t>
        </is>
      </c>
      <c r="H50" s="11" t="inlineStr">
        <is>
          <t>DI-8112</t>
        </is>
      </c>
      <c r="I50" s="11" t="n">
        <v>1</v>
      </c>
      <c r="J50" s="11" t="inlineStr">
        <is>
          <t>Status</t>
        </is>
      </c>
      <c r="K50" s="11" t="inlineStr">
        <is>
          <t>Status</t>
        </is>
      </c>
      <c r="L50" s="11" t="inlineStr">
        <is>
          <t>-</t>
        </is>
      </c>
      <c r="M50" s="11" t="inlineStr">
        <is>
          <t>Interlock: blocks remote close</t>
        </is>
      </c>
    </row>
    <row r="51" ht="25.5" customHeight="1">
      <c r="A51" s="11" t="inlineStr">
        <is>
          <t>AH6-LR-REM</t>
        </is>
      </c>
      <c r="B51" s="11" t="inlineStr">
        <is>
          <t>Local/remote switch in remote</t>
        </is>
      </c>
      <c r="C51" s="11" t="inlineStr">
        <is>
          <t>11 kV panel AH6, Prime Minister feeder</t>
        </is>
      </c>
      <c r="D51" s="11" t="inlineStr">
        <is>
          <t>11 kV switchroom</t>
        </is>
      </c>
      <c r="E51" s="11" t="inlineStr">
        <is>
          <t>DI</t>
        </is>
      </c>
      <c r="F51" s="11" t="n">
        <v>1</v>
      </c>
      <c r="G51" s="11" t="inlineStr">
        <is>
          <t>R1-DI04</t>
        </is>
      </c>
      <c r="H51" s="11" t="inlineStr">
        <is>
          <t>DI-8112</t>
        </is>
      </c>
      <c r="I51" s="11" t="n">
        <v>2</v>
      </c>
      <c r="J51" s="11" t="inlineStr">
        <is>
          <t>Status</t>
        </is>
      </c>
      <c r="K51" s="11" t="inlineStr">
        <is>
          <t>Status</t>
        </is>
      </c>
      <c r="L51" s="11" t="inlineStr">
        <is>
          <t>-</t>
        </is>
      </c>
      <c r="M51" s="11" t="inlineStr">
        <is>
          <t>Interlock: remote commands only in remote</t>
        </is>
      </c>
    </row>
    <row r="52" ht="25.5" customHeight="1">
      <c r="A52" s="11" t="inlineStr">
        <is>
          <t>AH6-SPR-CHG</t>
        </is>
      </c>
      <c r="B52" s="11" t="inlineStr">
        <is>
          <t>Closing spring charged</t>
        </is>
      </c>
      <c r="C52" s="11" t="inlineStr">
        <is>
          <t>11 kV panel AH6, Prime Minister feeder</t>
        </is>
      </c>
      <c r="D52" s="11" t="inlineStr">
        <is>
          <t>11 kV switchroom</t>
        </is>
      </c>
      <c r="E52" s="11" t="inlineStr">
        <is>
          <t>DI</t>
        </is>
      </c>
      <c r="F52" s="11" t="n">
        <v>1</v>
      </c>
      <c r="G52" s="11" t="inlineStr">
        <is>
          <t>R1-DI04</t>
        </is>
      </c>
      <c r="H52" s="11" t="inlineStr">
        <is>
          <t>DI-8112</t>
        </is>
      </c>
      <c r="I52" s="11" t="n">
        <v>3</v>
      </c>
      <c r="J52" s="11" t="inlineStr">
        <is>
          <t>Normally closed</t>
        </is>
      </c>
      <c r="K52" s="11" t="inlineStr">
        <is>
          <t>3</t>
        </is>
      </c>
      <c r="L52" s="11" t="inlineStr">
        <is>
          <t>-</t>
        </is>
      </c>
      <c r="M52" s="11" t="n"/>
    </row>
    <row r="53" ht="25.5" customHeight="1">
      <c r="A53" s="11" t="inlineStr">
        <is>
          <t>AH6-GAS-LOW</t>
        </is>
      </c>
      <c r="B53" s="11" t="inlineStr">
        <is>
          <t>Gas pressure low</t>
        </is>
      </c>
      <c r="C53" s="11" t="inlineStr">
        <is>
          <t>11 kV panel AH6, Prime Minister feeder</t>
        </is>
      </c>
      <c r="D53" s="11" t="inlineStr">
        <is>
          <t>11 kV switchroom</t>
        </is>
      </c>
      <c r="E53" s="11" t="inlineStr">
        <is>
          <t>DI</t>
        </is>
      </c>
      <c r="F53" s="11" t="n">
        <v>1</v>
      </c>
      <c r="G53" s="11" t="inlineStr">
        <is>
          <t>R1-DI04</t>
        </is>
      </c>
      <c r="H53" s="11" t="inlineStr">
        <is>
          <t>DI-8112</t>
        </is>
      </c>
      <c r="I53" s="11" t="n">
        <v>4</v>
      </c>
      <c r="J53" s="11" t="inlineStr">
        <is>
          <t>Normally open</t>
        </is>
      </c>
      <c r="K53" s="11" t="inlineStr">
        <is>
          <t>2</t>
        </is>
      </c>
      <c r="L53" s="11" t="inlineStr">
        <is>
          <t>-</t>
        </is>
      </c>
      <c r="M53" s="11" t="n"/>
    </row>
    <row r="54" ht="25.5" customHeight="1">
      <c r="A54" s="11" t="inlineStr">
        <is>
          <t>AH6-RLY-OK</t>
        </is>
      </c>
      <c r="B54" s="11" t="inlineStr">
        <is>
          <t>Protection relay healthy</t>
        </is>
      </c>
      <c r="C54" s="11" t="inlineStr">
        <is>
          <t>11 kV panel AH6, Prime Minister feeder</t>
        </is>
      </c>
      <c r="D54" s="11" t="inlineStr">
        <is>
          <t>11 kV switchroom</t>
        </is>
      </c>
      <c r="E54" s="11" t="inlineStr">
        <is>
          <t>DI</t>
        </is>
      </c>
      <c r="F54" s="11" t="n">
        <v>1</v>
      </c>
      <c r="G54" s="11" t="inlineStr">
        <is>
          <t>R1-DI04</t>
        </is>
      </c>
      <c r="H54" s="11" t="inlineStr">
        <is>
          <t>DI-8112</t>
        </is>
      </c>
      <c r="I54" s="11" t="n">
        <v>5</v>
      </c>
      <c r="J54" s="11" t="inlineStr">
        <is>
          <t>Normally closed</t>
        </is>
      </c>
      <c r="K54" s="11" t="inlineStr">
        <is>
          <t>2</t>
        </is>
      </c>
      <c r="L54" s="11" t="inlineStr">
        <is>
          <t>-</t>
        </is>
      </c>
      <c r="M54" s="11" t="n"/>
    </row>
    <row r="55" ht="25.5" customHeight="1">
      <c r="A55" s="11" t="inlineStr">
        <is>
          <t>AH6-AUX-OK</t>
        </is>
      </c>
      <c r="B55" s="11" t="inlineStr">
        <is>
          <t>Control supply healthy</t>
        </is>
      </c>
      <c r="C55" s="11" t="inlineStr">
        <is>
          <t>11 kV panel AH6, Prime Minister feeder</t>
        </is>
      </c>
      <c r="D55" s="11" t="inlineStr">
        <is>
          <t>11 kV switchroom</t>
        </is>
      </c>
      <c r="E55" s="11" t="inlineStr">
        <is>
          <t>DI</t>
        </is>
      </c>
      <c r="F55" s="11" t="n">
        <v>1</v>
      </c>
      <c r="G55" s="11" t="inlineStr">
        <is>
          <t>R1-DI04</t>
        </is>
      </c>
      <c r="H55" s="11" t="inlineStr">
        <is>
          <t>DI-8112</t>
        </is>
      </c>
      <c r="I55" s="11" t="n">
        <v>6</v>
      </c>
      <c r="J55" s="11" t="inlineStr">
        <is>
          <t>Normally closed</t>
        </is>
      </c>
      <c r="K55" s="11" t="inlineStr">
        <is>
          <t>2</t>
        </is>
      </c>
      <c r="L55" s="11" t="inlineStr">
        <is>
          <t>-</t>
        </is>
      </c>
      <c r="M55" s="11" t="n"/>
    </row>
    <row r="56">
      <c r="A56" s="11" t="inlineStr">
        <is>
          <t>AH7-CB-OPEN</t>
        </is>
      </c>
      <c r="B56" s="11" t="inlineStr">
        <is>
          <t>Circuit breaker open</t>
        </is>
      </c>
      <c r="C56" s="11" t="inlineStr">
        <is>
          <t>11 kV panel AH7, Spare feeder</t>
        </is>
      </c>
      <c r="D56" s="11" t="inlineStr">
        <is>
          <t>11 kV switchroom</t>
        </is>
      </c>
      <c r="E56" s="11" t="inlineStr">
        <is>
          <t>DI</t>
        </is>
      </c>
      <c r="F56" s="11" t="n">
        <v>1</v>
      </c>
      <c r="G56" s="11" t="inlineStr">
        <is>
          <t>R1-DI04</t>
        </is>
      </c>
      <c r="H56" s="11" t="inlineStr">
        <is>
          <t>DI-8112</t>
        </is>
      </c>
      <c r="I56" s="11" t="n">
        <v>7</v>
      </c>
      <c r="J56" s="11" t="inlineStr">
        <is>
          <t>Status</t>
        </is>
      </c>
      <c r="K56" s="11" t="inlineStr">
        <is>
          <t>Status</t>
        </is>
      </c>
      <c r="L56" s="11" t="inlineStr">
        <is>
          <t>-</t>
        </is>
      </c>
      <c r="M56" s="11" t="n"/>
    </row>
    <row r="57">
      <c r="A57" s="11" t="inlineStr">
        <is>
          <t>AH7-CB-CLSD</t>
        </is>
      </c>
      <c r="B57" s="11" t="inlineStr">
        <is>
          <t>Circuit breaker closed</t>
        </is>
      </c>
      <c r="C57" s="11" t="inlineStr">
        <is>
          <t>11 kV panel AH7, Spare feeder</t>
        </is>
      </c>
      <c r="D57" s="11" t="inlineStr">
        <is>
          <t>11 kV switchroom</t>
        </is>
      </c>
      <c r="E57" s="11" t="inlineStr">
        <is>
          <t>DI</t>
        </is>
      </c>
      <c r="F57" s="11" t="n">
        <v>1</v>
      </c>
      <c r="G57" s="11" t="inlineStr">
        <is>
          <t>R1-DI04</t>
        </is>
      </c>
      <c r="H57" s="11" t="inlineStr">
        <is>
          <t>DI-8112</t>
        </is>
      </c>
      <c r="I57" s="11" t="n">
        <v>8</v>
      </c>
      <c r="J57" s="11" t="inlineStr">
        <is>
          <t>Status</t>
        </is>
      </c>
      <c r="K57" s="11" t="inlineStr">
        <is>
          <t>Status</t>
        </is>
      </c>
      <c r="L57" s="11" t="inlineStr">
        <is>
          <t>-</t>
        </is>
      </c>
      <c r="M57" s="11" t="n"/>
    </row>
    <row r="58">
      <c r="A58" s="11" t="inlineStr">
        <is>
          <t>AH7-CB-TRIP</t>
        </is>
      </c>
      <c r="B58" s="11" t="inlineStr">
        <is>
          <t>Circuit breaker tripped by protection</t>
        </is>
      </c>
      <c r="C58" s="11" t="inlineStr">
        <is>
          <t>11 kV panel AH7, Spare feeder</t>
        </is>
      </c>
      <c r="D58" s="11" t="inlineStr">
        <is>
          <t>11 kV switchroom</t>
        </is>
      </c>
      <c r="E58" s="11" t="inlineStr">
        <is>
          <t>DI</t>
        </is>
      </c>
      <c r="F58" s="11" t="n">
        <v>1</v>
      </c>
      <c r="G58" s="11" t="inlineStr">
        <is>
          <t>R1-DI04</t>
        </is>
      </c>
      <c r="H58" s="11" t="inlineStr">
        <is>
          <t>DI-8112</t>
        </is>
      </c>
      <c r="I58" s="11" t="n">
        <v>9</v>
      </c>
      <c r="J58" s="11" t="inlineStr">
        <is>
          <t>Normally open</t>
        </is>
      </c>
      <c r="K58" s="11" t="inlineStr">
        <is>
          <t>1</t>
        </is>
      </c>
      <c r="L58" s="11" t="inlineStr">
        <is>
          <t>-</t>
        </is>
      </c>
      <c r="M58" s="11" t="n"/>
    </row>
    <row r="59">
      <c r="A59" s="11" t="inlineStr">
        <is>
          <t>AH7-ES-CLSD</t>
        </is>
      </c>
      <c r="B59" s="11" t="inlineStr">
        <is>
          <t>Earth switch closed</t>
        </is>
      </c>
      <c r="C59" s="11" t="inlineStr">
        <is>
          <t>11 kV panel AH7, Spare feeder</t>
        </is>
      </c>
      <c r="D59" s="11" t="inlineStr">
        <is>
          <t>11 kV switchroom</t>
        </is>
      </c>
      <c r="E59" s="11" t="inlineStr">
        <is>
          <t>DI</t>
        </is>
      </c>
      <c r="F59" s="11" t="n">
        <v>1</v>
      </c>
      <c r="G59" s="11" t="inlineStr">
        <is>
          <t>R1-DI04</t>
        </is>
      </c>
      <c r="H59" s="11" t="inlineStr">
        <is>
          <t>DI-8112</t>
        </is>
      </c>
      <c r="I59" s="11" t="n">
        <v>10</v>
      </c>
      <c r="J59" s="11" t="inlineStr">
        <is>
          <t>Status</t>
        </is>
      </c>
      <c r="K59" s="11" t="inlineStr">
        <is>
          <t>Status</t>
        </is>
      </c>
      <c r="L59" s="11" t="inlineStr">
        <is>
          <t>-</t>
        </is>
      </c>
      <c r="M59" s="11" t="inlineStr">
        <is>
          <t>Interlock: blocks remote close</t>
        </is>
      </c>
    </row>
    <row r="60" ht="25.5" customHeight="1">
      <c r="A60" s="11" t="inlineStr">
        <is>
          <t>AH7-LR-REM</t>
        </is>
      </c>
      <c r="B60" s="11" t="inlineStr">
        <is>
          <t>Local/remote switch in remote</t>
        </is>
      </c>
      <c r="C60" s="11" t="inlineStr">
        <is>
          <t>11 kV panel AH7, Spare feeder</t>
        </is>
      </c>
      <c r="D60" s="11" t="inlineStr">
        <is>
          <t>11 kV switchroom</t>
        </is>
      </c>
      <c r="E60" s="11" t="inlineStr">
        <is>
          <t>DI</t>
        </is>
      </c>
      <c r="F60" s="11" t="n">
        <v>1</v>
      </c>
      <c r="G60" s="11" t="inlineStr">
        <is>
          <t>R1-DI04</t>
        </is>
      </c>
      <c r="H60" s="11" t="inlineStr">
        <is>
          <t>DI-8112</t>
        </is>
      </c>
      <c r="I60" s="11" t="n">
        <v>11</v>
      </c>
      <c r="J60" s="11" t="inlineStr">
        <is>
          <t>Status</t>
        </is>
      </c>
      <c r="K60" s="11" t="inlineStr">
        <is>
          <t>Status</t>
        </is>
      </c>
      <c r="L60" s="11" t="inlineStr">
        <is>
          <t>-</t>
        </is>
      </c>
      <c r="M60" s="11" t="inlineStr">
        <is>
          <t>Interlock: remote commands only in remote</t>
        </is>
      </c>
    </row>
    <row r="61">
      <c r="A61" s="11" t="inlineStr">
        <is>
          <t>AH7-SPR-CHG</t>
        </is>
      </c>
      <c r="B61" s="11" t="inlineStr">
        <is>
          <t>Closing spring charged</t>
        </is>
      </c>
      <c r="C61" s="11" t="inlineStr">
        <is>
          <t>11 kV panel AH7, Spare feeder</t>
        </is>
      </c>
      <c r="D61" s="11" t="inlineStr">
        <is>
          <t>11 kV switchroom</t>
        </is>
      </c>
      <c r="E61" s="11" t="inlineStr">
        <is>
          <t>DI</t>
        </is>
      </c>
      <c r="F61" s="11" t="n">
        <v>1</v>
      </c>
      <c r="G61" s="11" t="inlineStr">
        <is>
          <t>R1-DI04</t>
        </is>
      </c>
      <c r="H61" s="11" t="inlineStr">
        <is>
          <t>DI-8112</t>
        </is>
      </c>
      <c r="I61" s="11" t="n">
        <v>12</v>
      </c>
      <c r="J61" s="11" t="inlineStr">
        <is>
          <t>Normally closed</t>
        </is>
      </c>
      <c r="K61" s="11" t="inlineStr">
        <is>
          <t>3</t>
        </is>
      </c>
      <c r="L61" s="11" t="inlineStr">
        <is>
          <t>-</t>
        </is>
      </c>
      <c r="M61" s="11" t="n"/>
    </row>
    <row r="62">
      <c r="A62" s="11" t="inlineStr">
        <is>
          <t>AH7-GAS-LOW</t>
        </is>
      </c>
      <c r="B62" s="11" t="inlineStr">
        <is>
          <t>Gas pressure low</t>
        </is>
      </c>
      <c r="C62" s="11" t="inlineStr">
        <is>
          <t>11 kV panel AH7, Spare feeder</t>
        </is>
      </c>
      <c r="D62" s="11" t="inlineStr">
        <is>
          <t>11 kV switchroom</t>
        </is>
      </c>
      <c r="E62" s="11" t="inlineStr">
        <is>
          <t>DI</t>
        </is>
      </c>
      <c r="F62" s="11" t="n">
        <v>1</v>
      </c>
      <c r="G62" s="11" t="inlineStr">
        <is>
          <t>R1-DI04</t>
        </is>
      </c>
      <c r="H62" s="11" t="inlineStr">
        <is>
          <t>DI-8112</t>
        </is>
      </c>
      <c r="I62" s="11" t="n">
        <v>13</v>
      </c>
      <c r="J62" s="11" t="inlineStr">
        <is>
          <t>Normally open</t>
        </is>
      </c>
      <c r="K62" s="11" t="inlineStr">
        <is>
          <t>2</t>
        </is>
      </c>
      <c r="L62" s="11" t="inlineStr">
        <is>
          <t>-</t>
        </is>
      </c>
      <c r="M62" s="11" t="n"/>
    </row>
    <row r="63">
      <c r="A63" s="11" t="inlineStr">
        <is>
          <t>AH7-RLY-OK</t>
        </is>
      </c>
      <c r="B63" s="11" t="inlineStr">
        <is>
          <t>Protection relay healthy</t>
        </is>
      </c>
      <c r="C63" s="11" t="inlineStr">
        <is>
          <t>11 kV panel AH7, Spare feeder</t>
        </is>
      </c>
      <c r="D63" s="11" t="inlineStr">
        <is>
          <t>11 kV switchroom</t>
        </is>
      </c>
      <c r="E63" s="11" t="inlineStr">
        <is>
          <t>DI</t>
        </is>
      </c>
      <c r="F63" s="11" t="n">
        <v>1</v>
      </c>
      <c r="G63" s="11" t="inlineStr">
        <is>
          <t>R1-DI04</t>
        </is>
      </c>
      <c r="H63" s="11" t="inlineStr">
        <is>
          <t>DI-8112</t>
        </is>
      </c>
      <c r="I63" s="11" t="n">
        <v>14</v>
      </c>
      <c r="J63" s="11" t="inlineStr">
        <is>
          <t>Normally closed</t>
        </is>
      </c>
      <c r="K63" s="11" t="inlineStr">
        <is>
          <t>2</t>
        </is>
      </c>
      <c r="L63" s="11" t="inlineStr">
        <is>
          <t>-</t>
        </is>
      </c>
      <c r="M63" s="11" t="n"/>
    </row>
    <row r="64">
      <c r="A64" s="11" t="inlineStr">
        <is>
          <t>AH7-AUX-OK</t>
        </is>
      </c>
      <c r="B64" s="11" t="inlineStr">
        <is>
          <t>Control supply healthy</t>
        </is>
      </c>
      <c r="C64" s="11" t="inlineStr">
        <is>
          <t>11 kV panel AH7, Spare feeder</t>
        </is>
      </c>
      <c r="D64" s="11" t="inlineStr">
        <is>
          <t>11 kV switchroom</t>
        </is>
      </c>
      <c r="E64" s="11" t="inlineStr">
        <is>
          <t>DI</t>
        </is>
      </c>
      <c r="F64" s="11" t="n">
        <v>1</v>
      </c>
      <c r="G64" s="11" t="inlineStr">
        <is>
          <t>R1-DI04</t>
        </is>
      </c>
      <c r="H64" s="11" t="inlineStr">
        <is>
          <t>DI-8112</t>
        </is>
      </c>
      <c r="I64" s="11" t="n">
        <v>15</v>
      </c>
      <c r="J64" s="11" t="inlineStr">
        <is>
          <t>Normally closed</t>
        </is>
      </c>
      <c r="K64" s="11" t="inlineStr">
        <is>
          <t>2</t>
        </is>
      </c>
      <c r="L64" s="11" t="inlineStr">
        <is>
          <t>-</t>
        </is>
      </c>
      <c r="M64" s="11" t="n"/>
    </row>
    <row r="65" ht="25.5" customHeight="1">
      <c r="A65" s="11" t="inlineStr">
        <is>
          <t>AH1-CB-OPEN-CMD</t>
        </is>
      </c>
      <c r="B65" s="11" t="inlineStr">
        <is>
          <t>Open circuit breaker</t>
        </is>
      </c>
      <c r="C65" s="11" t="inlineStr">
        <is>
          <t>11 kV panel AH1, Generator incomer</t>
        </is>
      </c>
      <c r="D65" s="11" t="inlineStr">
        <is>
          <t>11 kV switchroom</t>
        </is>
      </c>
      <c r="E65" s="11" t="inlineStr">
        <is>
          <t>DO</t>
        </is>
      </c>
      <c r="F65" s="11" t="n">
        <v>1</v>
      </c>
      <c r="G65" s="11" t="inlineStr">
        <is>
          <t>R1-CO01</t>
        </is>
      </c>
      <c r="H65" s="11" t="inlineStr">
        <is>
          <t>DO-8221</t>
        </is>
      </c>
      <c r="I65" s="11" t="n">
        <v>1</v>
      </c>
      <c r="J65" s="11" t="inlineStr">
        <is>
          <t>Pulse</t>
        </is>
      </c>
      <c r="K65" s="11" t="inlineStr">
        <is>
          <t>-</t>
        </is>
      </c>
      <c r="L65" s="11" t="inlineStr">
        <is>
          <t>Operator</t>
        </is>
      </c>
      <c r="M65" s="11" t="inlineStr">
        <is>
          <t>Select then confirm</t>
        </is>
      </c>
    </row>
    <row r="66" ht="25.5" customHeight="1">
      <c r="A66" s="11" t="inlineStr">
        <is>
          <t>AH1-CB-CLOSE-CMD</t>
        </is>
      </c>
      <c r="B66" s="11" t="inlineStr">
        <is>
          <t>Close circuit breaker</t>
        </is>
      </c>
      <c r="C66" s="11" t="inlineStr">
        <is>
          <t>11 kV panel AH1, Generator incomer</t>
        </is>
      </c>
      <c r="D66" s="11" t="inlineStr">
        <is>
          <t>11 kV switchroom</t>
        </is>
      </c>
      <c r="E66" s="11" t="inlineStr">
        <is>
          <t>DO</t>
        </is>
      </c>
      <c r="F66" s="11" t="n">
        <v>1</v>
      </c>
      <c r="G66" s="11" t="inlineStr">
        <is>
          <t>R1-CO01</t>
        </is>
      </c>
      <c r="H66" s="11" t="inlineStr">
        <is>
          <t>DO-8221</t>
        </is>
      </c>
      <c r="I66" s="11" t="n">
        <v>2</v>
      </c>
      <c r="J66" s="11" t="inlineStr">
        <is>
          <t>Pulse</t>
        </is>
      </c>
      <c r="K66" s="11" t="inlineStr">
        <is>
          <t>-</t>
        </is>
      </c>
      <c r="L66" s="11" t="inlineStr">
        <is>
          <t>Operator</t>
        </is>
      </c>
      <c r="M66" s="11" t="inlineStr">
        <is>
          <t>Select then confirm; blocked if earthed</t>
        </is>
      </c>
    </row>
    <row r="67">
      <c r="A67" s="11" t="inlineStr">
        <is>
          <t>AH2-CB-OPEN-CMD</t>
        </is>
      </c>
      <c r="B67" s="11" t="inlineStr">
        <is>
          <t>Open circuit breaker</t>
        </is>
      </c>
      <c r="C67" s="11" t="inlineStr">
        <is>
          <t>11 kV panel AH2, PV incomer</t>
        </is>
      </c>
      <c r="D67" s="11" t="inlineStr">
        <is>
          <t>11 kV switchroom</t>
        </is>
      </c>
      <c r="E67" s="11" t="inlineStr">
        <is>
          <t>DO</t>
        </is>
      </c>
      <c r="F67" s="11" t="n">
        <v>1</v>
      </c>
      <c r="G67" s="11" t="inlineStr">
        <is>
          <t>R1-CO01</t>
        </is>
      </c>
      <c r="H67" s="11" t="inlineStr">
        <is>
          <t>DO-8221</t>
        </is>
      </c>
      <c r="I67" s="11" t="n">
        <v>3</v>
      </c>
      <c r="J67" s="11" t="inlineStr">
        <is>
          <t>Pulse</t>
        </is>
      </c>
      <c r="K67" s="11" t="inlineStr">
        <is>
          <t>-</t>
        </is>
      </c>
      <c r="L67" s="11" t="inlineStr">
        <is>
          <t>Operator</t>
        </is>
      </c>
      <c r="M67" s="11" t="inlineStr">
        <is>
          <t>Select then confirm</t>
        </is>
      </c>
    </row>
    <row r="68" ht="25.5" customHeight="1">
      <c r="A68" s="11" t="inlineStr">
        <is>
          <t>AH2-CB-CLOSE-CMD</t>
        </is>
      </c>
      <c r="B68" s="11" t="inlineStr">
        <is>
          <t>Close circuit breaker</t>
        </is>
      </c>
      <c r="C68" s="11" t="inlineStr">
        <is>
          <t>11 kV panel AH2, PV incomer</t>
        </is>
      </c>
      <c r="D68" s="11" t="inlineStr">
        <is>
          <t>11 kV switchroom</t>
        </is>
      </c>
      <c r="E68" s="11" t="inlineStr">
        <is>
          <t>DO</t>
        </is>
      </c>
      <c r="F68" s="11" t="n">
        <v>1</v>
      </c>
      <c r="G68" s="11" t="inlineStr">
        <is>
          <t>R1-CO01</t>
        </is>
      </c>
      <c r="H68" s="11" t="inlineStr">
        <is>
          <t>DO-8221</t>
        </is>
      </c>
      <c r="I68" s="11" t="n">
        <v>4</v>
      </c>
      <c r="J68" s="11" t="inlineStr">
        <is>
          <t>Pulse</t>
        </is>
      </c>
      <c r="K68" s="11" t="inlineStr">
        <is>
          <t>-</t>
        </is>
      </c>
      <c r="L68" s="11" t="inlineStr">
        <is>
          <t>Operator</t>
        </is>
      </c>
      <c r="M68" s="11" t="inlineStr">
        <is>
          <t>Select then confirm; blocked if earthed</t>
        </is>
      </c>
    </row>
    <row r="69" ht="25.5" customHeight="1">
      <c r="A69" s="11" t="inlineStr">
        <is>
          <t>AH3-CB-OPEN-CMD</t>
        </is>
      </c>
      <c r="B69" s="11" t="inlineStr">
        <is>
          <t>Open circuit breaker</t>
        </is>
      </c>
      <c r="C69" s="11" t="inlineStr">
        <is>
          <t>11 kV panel AH3, BESS incomer</t>
        </is>
      </c>
      <c r="D69" s="11" t="inlineStr">
        <is>
          <t>11 kV switchroom</t>
        </is>
      </c>
      <c r="E69" s="11" t="inlineStr">
        <is>
          <t>DO</t>
        </is>
      </c>
      <c r="F69" s="11" t="n">
        <v>1</v>
      </c>
      <c r="G69" s="11" t="inlineStr">
        <is>
          <t>R1-CO01</t>
        </is>
      </c>
      <c r="H69" s="11" t="inlineStr">
        <is>
          <t>DO-8221</t>
        </is>
      </c>
      <c r="I69" s="11" t="n">
        <v>5</v>
      </c>
      <c r="J69" s="11" t="inlineStr">
        <is>
          <t>Pulse</t>
        </is>
      </c>
      <c r="K69" s="11" t="inlineStr">
        <is>
          <t>-</t>
        </is>
      </c>
      <c r="L69" s="11" t="inlineStr">
        <is>
          <t>Operator</t>
        </is>
      </c>
      <c r="M69" s="11" t="inlineStr">
        <is>
          <t>Select then confirm</t>
        </is>
      </c>
    </row>
    <row r="70" ht="25.5" customHeight="1">
      <c r="A70" s="11" t="inlineStr">
        <is>
          <t>AH3-CB-CLOSE-CMD</t>
        </is>
      </c>
      <c r="B70" s="11" t="inlineStr">
        <is>
          <t>Close circuit breaker</t>
        </is>
      </c>
      <c r="C70" s="11" t="inlineStr">
        <is>
          <t>11 kV panel AH3, BESS incomer</t>
        </is>
      </c>
      <c r="D70" s="11" t="inlineStr">
        <is>
          <t>11 kV switchroom</t>
        </is>
      </c>
      <c r="E70" s="11" t="inlineStr">
        <is>
          <t>DO</t>
        </is>
      </c>
      <c r="F70" s="11" t="n">
        <v>1</v>
      </c>
      <c r="G70" s="11" t="inlineStr">
        <is>
          <t>R1-CO01</t>
        </is>
      </c>
      <c r="H70" s="11" t="inlineStr">
        <is>
          <t>DO-8221</t>
        </is>
      </c>
      <c r="I70" s="11" t="n">
        <v>6</v>
      </c>
      <c r="J70" s="11" t="inlineStr">
        <is>
          <t>Pulse</t>
        </is>
      </c>
      <c r="K70" s="11" t="inlineStr">
        <is>
          <t>-</t>
        </is>
      </c>
      <c r="L70" s="11" t="inlineStr">
        <is>
          <t>Operator</t>
        </is>
      </c>
      <c r="M70" s="11" t="inlineStr">
        <is>
          <t>Select then confirm; blocked if earthed</t>
        </is>
      </c>
    </row>
    <row r="71" ht="25.5" customHeight="1">
      <c r="A71" s="11" t="inlineStr">
        <is>
          <t>AH4-CB-OPEN-CMD</t>
        </is>
      </c>
      <c r="B71" s="11" t="inlineStr">
        <is>
          <t>Open circuit breaker</t>
        </is>
      </c>
      <c r="C71" s="11" t="inlineStr">
        <is>
          <t>11 kV panel AH4, President feeder</t>
        </is>
      </c>
      <c r="D71" s="11" t="inlineStr">
        <is>
          <t>11 kV switchroom</t>
        </is>
      </c>
      <c r="E71" s="11" t="inlineStr">
        <is>
          <t>DO</t>
        </is>
      </c>
      <c r="F71" s="11" t="n">
        <v>1</v>
      </c>
      <c r="G71" s="11" t="inlineStr">
        <is>
          <t>R1-CO01</t>
        </is>
      </c>
      <c r="H71" s="11" t="inlineStr">
        <is>
          <t>DO-8221</t>
        </is>
      </c>
      <c r="I71" s="11" t="n">
        <v>7</v>
      </c>
      <c r="J71" s="11" t="inlineStr">
        <is>
          <t>Pulse</t>
        </is>
      </c>
      <c r="K71" s="11" t="inlineStr">
        <is>
          <t>-</t>
        </is>
      </c>
      <c r="L71" s="11" t="inlineStr">
        <is>
          <t>Operator</t>
        </is>
      </c>
      <c r="M71" s="11" t="inlineStr">
        <is>
          <t>Select then confirm</t>
        </is>
      </c>
    </row>
    <row r="72" ht="25.5" customHeight="1">
      <c r="A72" s="11" t="inlineStr">
        <is>
          <t>AH4-CB-CLOSE-CMD</t>
        </is>
      </c>
      <c r="B72" s="11" t="inlineStr">
        <is>
          <t>Close circuit breaker</t>
        </is>
      </c>
      <c r="C72" s="11" t="inlineStr">
        <is>
          <t>11 kV panel AH4, President feeder</t>
        </is>
      </c>
      <c r="D72" s="11" t="inlineStr">
        <is>
          <t>11 kV switchroom</t>
        </is>
      </c>
      <c r="E72" s="11" t="inlineStr">
        <is>
          <t>DO</t>
        </is>
      </c>
      <c r="F72" s="11" t="n">
        <v>1</v>
      </c>
      <c r="G72" s="11" t="inlineStr">
        <is>
          <t>R1-CO01</t>
        </is>
      </c>
      <c r="H72" s="11" t="inlineStr">
        <is>
          <t>DO-8221</t>
        </is>
      </c>
      <c r="I72" s="11" t="n">
        <v>8</v>
      </c>
      <c r="J72" s="11" t="inlineStr">
        <is>
          <t>Pulse</t>
        </is>
      </c>
      <c r="K72" s="11" t="inlineStr">
        <is>
          <t>-</t>
        </is>
      </c>
      <c r="L72" s="11" t="inlineStr">
        <is>
          <t>Operator</t>
        </is>
      </c>
      <c r="M72" s="11" t="inlineStr">
        <is>
          <t>Select then confirm; blocked if earthed</t>
        </is>
      </c>
    </row>
    <row r="73" ht="25.5" customHeight="1">
      <c r="A73" s="11" t="inlineStr">
        <is>
          <t>AH5-CB-OPEN-CMD</t>
        </is>
      </c>
      <c r="B73" s="11" t="inlineStr">
        <is>
          <t>Open circuit breaker</t>
        </is>
      </c>
      <c r="C73" s="11" t="inlineStr">
        <is>
          <t>11 kV panel AH5, Auxiliary transformer feeder</t>
        </is>
      </c>
      <c r="D73" s="11" t="inlineStr">
        <is>
          <t>11 kV switchroom</t>
        </is>
      </c>
      <c r="E73" s="11" t="inlineStr">
        <is>
          <t>DO</t>
        </is>
      </c>
      <c r="F73" s="11" t="n">
        <v>1</v>
      </c>
      <c r="G73" s="11" t="inlineStr">
        <is>
          <t>R1-CO01</t>
        </is>
      </c>
      <c r="H73" s="11" t="inlineStr">
        <is>
          <t>DO-8221</t>
        </is>
      </c>
      <c r="I73" s="11" t="n">
        <v>9</v>
      </c>
      <c r="J73" s="11" t="inlineStr">
        <is>
          <t>Pulse</t>
        </is>
      </c>
      <c r="K73" s="11" t="inlineStr">
        <is>
          <t>-</t>
        </is>
      </c>
      <c r="L73" s="11" t="inlineStr">
        <is>
          <t>Operator</t>
        </is>
      </c>
      <c r="M73" s="11" t="inlineStr">
        <is>
          <t>Select then confirm</t>
        </is>
      </c>
    </row>
    <row r="74" ht="25.5" customHeight="1">
      <c r="A74" s="11" t="inlineStr">
        <is>
          <t>AH5-CB-CLOSE-CMD</t>
        </is>
      </c>
      <c r="B74" s="11" t="inlineStr">
        <is>
          <t>Close circuit breaker</t>
        </is>
      </c>
      <c r="C74" s="11" t="inlineStr">
        <is>
          <t>11 kV panel AH5, Auxiliary transformer feeder</t>
        </is>
      </c>
      <c r="D74" s="11" t="inlineStr">
        <is>
          <t>11 kV switchroom</t>
        </is>
      </c>
      <c r="E74" s="11" t="inlineStr">
        <is>
          <t>DO</t>
        </is>
      </c>
      <c r="F74" s="11" t="n">
        <v>1</v>
      </c>
      <c r="G74" s="11" t="inlineStr">
        <is>
          <t>R1-CO01</t>
        </is>
      </c>
      <c r="H74" s="11" t="inlineStr">
        <is>
          <t>DO-8221</t>
        </is>
      </c>
      <c r="I74" s="11" t="n">
        <v>10</v>
      </c>
      <c r="J74" s="11" t="inlineStr">
        <is>
          <t>Pulse</t>
        </is>
      </c>
      <c r="K74" s="11" t="inlineStr">
        <is>
          <t>-</t>
        </is>
      </c>
      <c r="L74" s="11" t="inlineStr">
        <is>
          <t>Operator</t>
        </is>
      </c>
      <c r="M74" s="11" t="inlineStr">
        <is>
          <t>Select then confirm; blocked if earthed</t>
        </is>
      </c>
    </row>
    <row r="75" ht="25.5" customHeight="1">
      <c r="A75" s="11" t="inlineStr">
        <is>
          <t>AH6-CB-OPEN-CMD</t>
        </is>
      </c>
      <c r="B75" s="11" t="inlineStr">
        <is>
          <t>Open circuit breaker</t>
        </is>
      </c>
      <c r="C75" s="11" t="inlineStr">
        <is>
          <t>11 kV panel AH6, Prime Minister feeder</t>
        </is>
      </c>
      <c r="D75" s="11" t="inlineStr">
        <is>
          <t>11 kV switchroom</t>
        </is>
      </c>
      <c r="E75" s="11" t="inlineStr">
        <is>
          <t>DO</t>
        </is>
      </c>
      <c r="F75" s="11" t="n">
        <v>1</v>
      </c>
      <c r="G75" s="11" t="inlineStr">
        <is>
          <t>R1-CO01</t>
        </is>
      </c>
      <c r="H75" s="11" t="inlineStr">
        <is>
          <t>DO-8221</t>
        </is>
      </c>
      <c r="I75" s="11" t="n">
        <v>11</v>
      </c>
      <c r="J75" s="11" t="inlineStr">
        <is>
          <t>Pulse</t>
        </is>
      </c>
      <c r="K75" s="11" t="inlineStr">
        <is>
          <t>-</t>
        </is>
      </c>
      <c r="L75" s="11" t="inlineStr">
        <is>
          <t>Operator</t>
        </is>
      </c>
      <c r="M75" s="11" t="inlineStr">
        <is>
          <t>Select then confirm</t>
        </is>
      </c>
    </row>
    <row r="76" ht="25.5" customHeight="1">
      <c r="A76" s="11" t="inlineStr">
        <is>
          <t>AH6-CB-CLOSE-CMD</t>
        </is>
      </c>
      <c r="B76" s="11" t="inlineStr">
        <is>
          <t>Close circuit breaker</t>
        </is>
      </c>
      <c r="C76" s="11" t="inlineStr">
        <is>
          <t>11 kV panel AH6, Prime Minister feeder</t>
        </is>
      </c>
      <c r="D76" s="11" t="inlineStr">
        <is>
          <t>11 kV switchroom</t>
        </is>
      </c>
      <c r="E76" s="11" t="inlineStr">
        <is>
          <t>DO</t>
        </is>
      </c>
      <c r="F76" s="11" t="n">
        <v>1</v>
      </c>
      <c r="G76" s="11" t="inlineStr">
        <is>
          <t>R1-CO01</t>
        </is>
      </c>
      <c r="H76" s="11" t="inlineStr">
        <is>
          <t>DO-8221</t>
        </is>
      </c>
      <c r="I76" s="11" t="n">
        <v>12</v>
      </c>
      <c r="J76" s="11" t="inlineStr">
        <is>
          <t>Pulse</t>
        </is>
      </c>
      <c r="K76" s="11" t="inlineStr">
        <is>
          <t>-</t>
        </is>
      </c>
      <c r="L76" s="11" t="inlineStr">
        <is>
          <t>Operator</t>
        </is>
      </c>
      <c r="M76" s="11" t="inlineStr">
        <is>
          <t>Select then confirm; blocked if earthed</t>
        </is>
      </c>
    </row>
    <row r="77">
      <c r="A77" s="11" t="inlineStr">
        <is>
          <t>AH7-CB-OPEN-CMD</t>
        </is>
      </c>
      <c r="B77" s="11" t="inlineStr">
        <is>
          <t>Open circuit breaker</t>
        </is>
      </c>
      <c r="C77" s="11" t="inlineStr">
        <is>
          <t>11 kV panel AH7, Spare feeder</t>
        </is>
      </c>
      <c r="D77" s="11" t="inlineStr">
        <is>
          <t>11 kV switchroom</t>
        </is>
      </c>
      <c r="E77" s="11" t="inlineStr">
        <is>
          <t>DO</t>
        </is>
      </c>
      <c r="F77" s="11" t="n">
        <v>1</v>
      </c>
      <c r="G77" s="11" t="inlineStr">
        <is>
          <t>R1-CO02</t>
        </is>
      </c>
      <c r="H77" s="11" t="inlineStr">
        <is>
          <t>DO-8221</t>
        </is>
      </c>
      <c r="I77" s="11" t="n">
        <v>1</v>
      </c>
      <c r="J77" s="11" t="inlineStr">
        <is>
          <t>Pulse</t>
        </is>
      </c>
      <c r="K77" s="11" t="inlineStr">
        <is>
          <t>-</t>
        </is>
      </c>
      <c r="L77" s="11" t="inlineStr">
        <is>
          <t>Operator</t>
        </is>
      </c>
      <c r="M77" s="11" t="inlineStr">
        <is>
          <t>Select then confirm</t>
        </is>
      </c>
    </row>
    <row r="78" ht="25.5" customHeight="1">
      <c r="A78" s="11" t="inlineStr">
        <is>
          <t>AH7-CB-CLOSE-CMD</t>
        </is>
      </c>
      <c r="B78" s="11" t="inlineStr">
        <is>
          <t>Close circuit breaker</t>
        </is>
      </c>
      <c r="C78" s="11" t="inlineStr">
        <is>
          <t>11 kV panel AH7, Spare feeder</t>
        </is>
      </c>
      <c r="D78" s="11" t="inlineStr">
        <is>
          <t>11 kV switchroom</t>
        </is>
      </c>
      <c r="E78" s="11" t="inlineStr">
        <is>
          <t>DO</t>
        </is>
      </c>
      <c r="F78" s="11" t="n">
        <v>1</v>
      </c>
      <c r="G78" s="11" t="inlineStr">
        <is>
          <t>R1-CO02</t>
        </is>
      </c>
      <c r="H78" s="11" t="inlineStr">
        <is>
          <t>DO-8221</t>
        </is>
      </c>
      <c r="I78" s="11" t="n">
        <v>2</v>
      </c>
      <c r="J78" s="11" t="inlineStr">
        <is>
          <t>Pulse</t>
        </is>
      </c>
      <c r="K78" s="11" t="inlineStr">
        <is>
          <t>-</t>
        </is>
      </c>
      <c r="L78" s="11" t="inlineStr">
        <is>
          <t>Operator</t>
        </is>
      </c>
      <c r="M78" s="11" t="inlineStr">
        <is>
          <t>Select then confirm; blocked if earthed</t>
        </is>
      </c>
    </row>
    <row r="79" ht="25.5" customHeight="1">
      <c r="A79" s="11" t="inlineStr">
        <is>
          <t>AH8-NER-EF</t>
        </is>
      </c>
      <c r="B79" s="11" t="inlineStr">
        <is>
          <t>Earth fault current alarm</t>
        </is>
      </c>
      <c r="C79" s="11" t="inlineStr">
        <is>
          <t>11 kV panel AH8, neutral earthing resistor</t>
        </is>
      </c>
      <c r="D79" s="11" t="inlineStr">
        <is>
          <t>11 kV switchroom</t>
        </is>
      </c>
      <c r="E79" s="11" t="inlineStr">
        <is>
          <t>DI</t>
        </is>
      </c>
      <c r="F79" s="11" t="n">
        <v>1</v>
      </c>
      <c r="G79" s="11" t="inlineStr">
        <is>
          <t>R1-DI04</t>
        </is>
      </c>
      <c r="H79" s="11" t="inlineStr">
        <is>
          <t>DI-8112</t>
        </is>
      </c>
      <c r="I79" s="11" t="n">
        <v>16</v>
      </c>
      <c r="J79" s="11" t="inlineStr">
        <is>
          <t>Normally open</t>
        </is>
      </c>
      <c r="K79" s="11" t="inlineStr">
        <is>
          <t>1</t>
        </is>
      </c>
      <c r="L79" s="11" t="inlineStr">
        <is>
          <t>-</t>
        </is>
      </c>
      <c r="M79" s="11" t="n"/>
    </row>
    <row r="80" ht="25.5" customHeight="1">
      <c r="A80" s="11" t="inlineStr">
        <is>
          <t>AH8-NER-TEMP</t>
        </is>
      </c>
      <c r="B80" s="11" t="inlineStr">
        <is>
          <t>Resistor temperature high</t>
        </is>
      </c>
      <c r="C80" s="11" t="inlineStr">
        <is>
          <t>11 kV panel AH8, neutral earthing resistor</t>
        </is>
      </c>
      <c r="D80" s="11" t="inlineStr">
        <is>
          <t>11 kV switchroom</t>
        </is>
      </c>
      <c r="E80" s="11" t="inlineStr">
        <is>
          <t>DI</t>
        </is>
      </c>
      <c r="F80" s="11" t="n">
        <v>1</v>
      </c>
      <c r="G80" s="11" t="inlineStr">
        <is>
          <t>R1-DI05</t>
        </is>
      </c>
      <c r="H80" s="11" t="inlineStr">
        <is>
          <t>DI-8112</t>
        </is>
      </c>
      <c r="I80" s="11" t="n">
        <v>1</v>
      </c>
      <c r="J80" s="11" t="inlineStr">
        <is>
          <t>Normally open</t>
        </is>
      </c>
      <c r="K80" s="11" t="inlineStr">
        <is>
          <t>2</t>
        </is>
      </c>
      <c r="L80" s="11" t="inlineStr">
        <is>
          <t>-</t>
        </is>
      </c>
      <c r="M80" s="11" t="n"/>
    </row>
    <row r="81" ht="25.5" customHeight="1">
      <c r="A81" s="11" t="inlineStr">
        <is>
          <t>AH8-AUX-OK</t>
        </is>
      </c>
      <c r="B81" s="11" t="inlineStr">
        <is>
          <t>Panel supply healthy</t>
        </is>
      </c>
      <c r="C81" s="11" t="inlineStr">
        <is>
          <t>11 kV panel AH8, neutral earthing resistor</t>
        </is>
      </c>
      <c r="D81" s="11" t="inlineStr">
        <is>
          <t>11 kV switchroom</t>
        </is>
      </c>
      <c r="E81" s="11" t="inlineStr">
        <is>
          <t>DI</t>
        </is>
      </c>
      <c r="F81" s="11" t="n">
        <v>1</v>
      </c>
      <c r="G81" s="11" t="inlineStr">
        <is>
          <t>R1-DI05</t>
        </is>
      </c>
      <c r="H81" s="11" t="inlineStr">
        <is>
          <t>DI-8112</t>
        </is>
      </c>
      <c r="I81" s="11" t="n">
        <v>2</v>
      </c>
      <c r="J81" s="11" t="inlineStr">
        <is>
          <t>Normally closed</t>
        </is>
      </c>
      <c r="K81" s="11" t="inlineStr">
        <is>
          <t>2</t>
        </is>
      </c>
      <c r="L81" s="11" t="inlineStr">
        <is>
          <t>-</t>
        </is>
      </c>
      <c r="M81" s="11" t="n"/>
    </row>
    <row r="82">
      <c r="A82" s="11" t="inlineStr">
        <is>
          <t>AH8-CB-OPEN</t>
        </is>
      </c>
      <c r="B82" s="11" t="inlineStr">
        <is>
          <t>Circuit breaker open</t>
        </is>
      </c>
      <c r="C82" s="11" t="inlineStr">
        <is>
          <t>11 kV panel AH8, neutral earthing resistor</t>
        </is>
      </c>
      <c r="D82" s="11" t="inlineStr">
        <is>
          <t>11 kV switchroom</t>
        </is>
      </c>
      <c r="E82" s="11" t="inlineStr">
        <is>
          <t>DI</t>
        </is>
      </c>
      <c r="F82" s="11" t="n">
        <v>1</v>
      </c>
      <c r="G82" s="11" t="inlineStr">
        <is>
          <t>R1-DI05</t>
        </is>
      </c>
      <c r="H82" s="11" t="inlineStr">
        <is>
          <t>DI-8112</t>
        </is>
      </c>
      <c r="I82" s="11" t="n">
        <v>3</v>
      </c>
      <c r="J82" s="11" t="inlineStr">
        <is>
          <t>Status</t>
        </is>
      </c>
      <c r="K82" s="11" t="inlineStr">
        <is>
          <t>Status</t>
        </is>
      </c>
      <c r="L82" s="11" t="inlineStr">
        <is>
          <t>-</t>
        </is>
      </c>
      <c r="M82" s="11" t="inlineStr">
        <is>
          <t>Added rev 1. The 11 kV system is earthed only through AH8</t>
        </is>
      </c>
    </row>
    <row r="83">
      <c r="A83" s="11" t="inlineStr">
        <is>
          <t>AH8-CB-CLSD</t>
        </is>
      </c>
      <c r="B83" s="11" t="inlineStr">
        <is>
          <t>Circuit breaker closed</t>
        </is>
      </c>
      <c r="C83" s="11" t="inlineStr">
        <is>
          <t>11 kV panel AH8, neutral earthing resistor</t>
        </is>
      </c>
      <c r="D83" s="11" t="inlineStr">
        <is>
          <t>11 kV switchroom</t>
        </is>
      </c>
      <c r="E83" s="11" t="inlineStr">
        <is>
          <t>DI</t>
        </is>
      </c>
      <c r="F83" s="11" t="n">
        <v>1</v>
      </c>
      <c r="G83" s="11" t="inlineStr">
        <is>
          <t>R1-DI05</t>
        </is>
      </c>
      <c r="H83" s="11" t="inlineStr">
        <is>
          <t>DI-8112</t>
        </is>
      </c>
      <c r="I83" s="11" t="n">
        <v>4</v>
      </c>
      <c r="J83" s="11" t="inlineStr">
        <is>
          <t>Status</t>
        </is>
      </c>
      <c r="K83" s="11" t="inlineStr">
        <is>
          <t>Status</t>
        </is>
      </c>
      <c r="L83" s="11" t="inlineStr">
        <is>
          <t>-</t>
        </is>
      </c>
      <c r="M83" s="11" t="inlineStr">
        <is>
          <t>Added rev 1. Level 1 alarm if open while the busbar is live</t>
        </is>
      </c>
    </row>
    <row r="84">
      <c r="A84" s="11" t="inlineStr">
        <is>
          <t>AH8-CB-TRIP</t>
        </is>
      </c>
      <c r="B84" s="11" t="inlineStr">
        <is>
          <t>Circuit breaker tripped by protection</t>
        </is>
      </c>
      <c r="C84" s="11" t="inlineStr">
        <is>
          <t>11 kV panel AH8, neutral earthing resistor</t>
        </is>
      </c>
      <c r="D84" s="11" t="inlineStr">
        <is>
          <t>11 kV switchroom</t>
        </is>
      </c>
      <c r="E84" s="11" t="inlineStr">
        <is>
          <t>DI</t>
        </is>
      </c>
      <c r="F84" s="11" t="n">
        <v>1</v>
      </c>
      <c r="G84" s="11" t="inlineStr">
        <is>
          <t>R1-DI05</t>
        </is>
      </c>
      <c r="H84" s="11" t="inlineStr">
        <is>
          <t>DI-8112</t>
        </is>
      </c>
      <c r="I84" s="11" t="n">
        <v>5</v>
      </c>
      <c r="J84" s="11" t="inlineStr">
        <is>
          <t>Normally open</t>
        </is>
      </c>
      <c r="K84" s="11" t="inlineStr">
        <is>
          <t>1</t>
        </is>
      </c>
      <c r="L84" s="11" t="inlineStr">
        <is>
          <t>-</t>
        </is>
      </c>
      <c r="M84" s="11" t="inlineStr">
        <is>
          <t>Added rev 1</t>
        </is>
      </c>
    </row>
    <row r="85">
      <c r="A85" s="11" t="inlineStr">
        <is>
          <t>AH8-ES-CLSD</t>
        </is>
      </c>
      <c r="B85" s="11" t="inlineStr">
        <is>
          <t>Earth switch closed</t>
        </is>
      </c>
      <c r="C85" s="11" t="inlineStr">
        <is>
          <t>11 kV panel AH8, neutral earthing resistor</t>
        </is>
      </c>
      <c r="D85" s="11" t="inlineStr">
        <is>
          <t>11 kV switchroom</t>
        </is>
      </c>
      <c r="E85" s="11" t="inlineStr">
        <is>
          <t>DI</t>
        </is>
      </c>
      <c r="F85" s="11" t="n">
        <v>1</v>
      </c>
      <c r="G85" s="11" t="inlineStr">
        <is>
          <t>R1-DI05</t>
        </is>
      </c>
      <c r="H85" s="11" t="inlineStr">
        <is>
          <t>DI-8112</t>
        </is>
      </c>
      <c r="I85" s="11" t="n">
        <v>6</v>
      </c>
      <c r="J85" s="11" t="inlineStr">
        <is>
          <t>Status</t>
        </is>
      </c>
      <c r="K85" s="11" t="inlineStr">
        <is>
          <t>Status</t>
        </is>
      </c>
      <c r="L85" s="11" t="inlineStr">
        <is>
          <t>-</t>
        </is>
      </c>
      <c r="M85" s="11" t="inlineStr">
        <is>
          <t>Added rev 1</t>
        </is>
      </c>
    </row>
    <row r="86">
      <c r="A86" s="11" t="inlineStr">
        <is>
          <t>AH8-GAS-LOW</t>
        </is>
      </c>
      <c r="B86" s="11" t="inlineStr">
        <is>
          <t>Gas pressure low</t>
        </is>
      </c>
      <c r="C86" s="11" t="inlineStr">
        <is>
          <t>11 kV panel AH8, neutral earthing resistor</t>
        </is>
      </c>
      <c r="D86" s="11" t="inlineStr">
        <is>
          <t>11 kV switchroom</t>
        </is>
      </c>
      <c r="E86" s="11" t="inlineStr">
        <is>
          <t>DI</t>
        </is>
      </c>
      <c r="F86" s="11" t="n">
        <v>1</v>
      </c>
      <c r="G86" s="11" t="inlineStr">
        <is>
          <t>R1-DI05</t>
        </is>
      </c>
      <c r="H86" s="11" t="inlineStr">
        <is>
          <t>DI-8112</t>
        </is>
      </c>
      <c r="I86" s="11" t="n">
        <v>7</v>
      </c>
      <c r="J86" s="11" t="inlineStr">
        <is>
          <t>Normally open</t>
        </is>
      </c>
      <c r="K86" s="11" t="inlineStr">
        <is>
          <t>2</t>
        </is>
      </c>
      <c r="L86" s="11" t="inlineStr">
        <is>
          <t>-</t>
        </is>
      </c>
      <c r="M86" s="11" t="inlineStr">
        <is>
          <t>Added rev 1</t>
        </is>
      </c>
    </row>
    <row r="87">
      <c r="A87" s="11" t="inlineStr">
        <is>
          <t>SYS-BEACON</t>
        </is>
      </c>
      <c r="B87" s="11" t="inlineStr">
        <is>
          <t>Critical alarm beacon and sounder</t>
        </is>
      </c>
      <c r="C87" s="11" t="inlineStr">
        <is>
          <t>Control room alarm beacon</t>
        </is>
      </c>
      <c r="D87" s="11" t="inlineStr">
        <is>
          <t>Control room</t>
        </is>
      </c>
      <c r="E87" s="11" t="inlineStr">
        <is>
          <t>DO</t>
        </is>
      </c>
      <c r="F87" s="11" t="n">
        <v>1</v>
      </c>
      <c r="G87" s="11" t="inlineStr">
        <is>
          <t>R1-DO01</t>
        </is>
      </c>
      <c r="H87" s="11" t="inlineStr">
        <is>
          <t>DO-8212</t>
        </is>
      </c>
      <c r="I87" s="11" t="n">
        <v>1</v>
      </c>
      <c r="J87" s="11" t="inlineStr">
        <is>
          <t>De-energised</t>
        </is>
      </c>
      <c r="K87" s="11" t="inlineStr">
        <is>
          <t>-</t>
        </is>
      </c>
      <c r="L87" s="11" t="inlineStr">
        <is>
          <t>Automatic</t>
        </is>
      </c>
      <c r="M87" s="11" t="n"/>
    </row>
    <row r="88">
      <c r="A88" s="11" t="inlineStr">
        <is>
          <t>SYS-CP-HEALTHY</t>
        </is>
      </c>
      <c r="B88" s="11" t="inlineStr">
        <is>
          <t>Controller healthy output (watchdog)</t>
        </is>
      </c>
      <c r="C88" s="11" t="inlineStr">
        <is>
          <t>SICAM CP-8050</t>
        </is>
      </c>
      <c r="D88" s="11" t="inlineStr">
        <is>
          <t>11 kV switchroom</t>
        </is>
      </c>
      <c r="E88" s="11" t="inlineStr">
        <is>
          <t>DO</t>
        </is>
      </c>
      <c r="F88" s="11" t="n">
        <v>1</v>
      </c>
      <c r="G88" s="11" t="inlineStr">
        <is>
          <t>R1-DO01</t>
        </is>
      </c>
      <c r="H88" s="11" t="inlineStr">
        <is>
          <t>DO-8212</t>
        </is>
      </c>
      <c r="I88" s="11" t="n">
        <v>2</v>
      </c>
      <c r="J88" s="11" t="inlineStr">
        <is>
          <t>Energised</t>
        </is>
      </c>
      <c r="K88" s="11" t="inlineStr">
        <is>
          <t>-</t>
        </is>
      </c>
      <c r="L88" s="11" t="inlineStr">
        <is>
          <t>Automatic</t>
        </is>
      </c>
      <c r="M88" s="11" t="n"/>
    </row>
    <row r="89">
      <c r="A89" s="11" t="inlineStr">
        <is>
          <t>T-AUX-OT-ALM</t>
        </is>
      </c>
      <c r="B89" s="11" t="inlineStr">
        <is>
          <t>Oil temperature alarm</t>
        </is>
      </c>
      <c r="C89" s="11" t="inlineStr">
        <is>
          <t>Auxiliary transformer 100 kVA</t>
        </is>
      </c>
      <c r="D89" s="11" t="inlineStr">
        <is>
          <t>11 kV switchroom</t>
        </is>
      </c>
      <c r="E89" s="11" t="inlineStr">
        <is>
          <t>DI</t>
        </is>
      </c>
      <c r="F89" s="11" t="n">
        <v>2</v>
      </c>
      <c r="G89" s="11" t="inlineStr">
        <is>
          <t>R2-DI01</t>
        </is>
      </c>
      <c r="H89" s="11" t="inlineStr">
        <is>
          <t>DI-8112</t>
        </is>
      </c>
      <c r="I89" s="11" t="n">
        <v>1</v>
      </c>
      <c r="J89" s="11" t="inlineStr">
        <is>
          <t>Normally open</t>
        </is>
      </c>
      <c r="K89" s="11" t="inlineStr">
        <is>
          <t>3</t>
        </is>
      </c>
      <c r="L89" s="11" t="inlineStr">
        <is>
          <t>-</t>
        </is>
      </c>
      <c r="M89" s="11" t="n"/>
    </row>
    <row r="90" ht="25.5" customHeight="1">
      <c r="A90" s="11" t="inlineStr">
        <is>
          <t>T-AUX-OT-TRIP</t>
        </is>
      </c>
      <c r="B90" s="11" t="inlineStr">
        <is>
          <t>Oil temperature trip</t>
        </is>
      </c>
      <c r="C90" s="11" t="inlineStr">
        <is>
          <t>Auxiliary transformer 100 kVA</t>
        </is>
      </c>
      <c r="D90" s="11" t="inlineStr">
        <is>
          <t>11 kV switchroom</t>
        </is>
      </c>
      <c r="E90" s="11" t="inlineStr">
        <is>
          <t>DI</t>
        </is>
      </c>
      <c r="F90" s="11" t="n">
        <v>2</v>
      </c>
      <c r="G90" s="11" t="inlineStr">
        <is>
          <t>R2-DI01</t>
        </is>
      </c>
      <c r="H90" s="11" t="inlineStr">
        <is>
          <t>DI-8112</t>
        </is>
      </c>
      <c r="I90" s="11" t="n">
        <v>2</v>
      </c>
      <c r="J90" s="11" t="inlineStr">
        <is>
          <t>Normally open</t>
        </is>
      </c>
      <c r="K90" s="11" t="inlineStr">
        <is>
          <t>1</t>
        </is>
      </c>
      <c r="L90" s="11" t="inlineStr">
        <is>
          <t>-</t>
        </is>
      </c>
      <c r="M90" s="11" t="n"/>
    </row>
    <row r="91" ht="25.5" customHeight="1">
      <c r="A91" s="11" t="inlineStr">
        <is>
          <t>T-AUX-WT-ALM</t>
        </is>
      </c>
      <c r="B91" s="11" t="inlineStr">
        <is>
          <t>Winding temperature alarm</t>
        </is>
      </c>
      <c r="C91" s="11" t="inlineStr">
        <is>
          <t>Auxiliary transformer 100 kVA</t>
        </is>
      </c>
      <c r="D91" s="11" t="inlineStr">
        <is>
          <t>11 kV switchroom</t>
        </is>
      </c>
      <c r="E91" s="11" t="inlineStr">
        <is>
          <t>DI</t>
        </is>
      </c>
      <c r="F91" s="11" t="n">
        <v>2</v>
      </c>
      <c r="G91" s="11" t="inlineStr">
        <is>
          <t>R2-DI01</t>
        </is>
      </c>
      <c r="H91" s="11" t="inlineStr">
        <is>
          <t>DI-8112</t>
        </is>
      </c>
      <c r="I91" s="11" t="n">
        <v>3</v>
      </c>
      <c r="J91" s="11" t="inlineStr">
        <is>
          <t>Normally open</t>
        </is>
      </c>
      <c r="K91" s="11" t="inlineStr">
        <is>
          <t>3</t>
        </is>
      </c>
      <c r="L91" s="11" t="inlineStr">
        <is>
          <t>-</t>
        </is>
      </c>
      <c r="M91" s="11" t="n"/>
    </row>
    <row r="92" ht="25.5" customHeight="1">
      <c r="A92" s="11" t="inlineStr">
        <is>
          <t>T-AUX-WT-TRIP</t>
        </is>
      </c>
      <c r="B92" s="11" t="inlineStr">
        <is>
          <t>Winding temperature trip</t>
        </is>
      </c>
      <c r="C92" s="11" t="inlineStr">
        <is>
          <t>Auxiliary transformer 100 kVA</t>
        </is>
      </c>
      <c r="D92" s="11" t="inlineStr">
        <is>
          <t>11 kV switchroom</t>
        </is>
      </c>
      <c r="E92" s="11" t="inlineStr">
        <is>
          <t>DI</t>
        </is>
      </c>
      <c r="F92" s="11" t="n">
        <v>2</v>
      </c>
      <c r="G92" s="11" t="inlineStr">
        <is>
          <t>R2-DI01</t>
        </is>
      </c>
      <c r="H92" s="11" t="inlineStr">
        <is>
          <t>DI-8112</t>
        </is>
      </c>
      <c r="I92" s="11" t="n">
        <v>4</v>
      </c>
      <c r="J92" s="11" t="inlineStr">
        <is>
          <t>Normally open</t>
        </is>
      </c>
      <c r="K92" s="11" t="inlineStr">
        <is>
          <t>1</t>
        </is>
      </c>
      <c r="L92" s="11" t="inlineStr">
        <is>
          <t>-</t>
        </is>
      </c>
      <c r="M92" s="11" t="n"/>
    </row>
    <row r="93" ht="25.5" customHeight="1">
      <c r="A93" s="11" t="inlineStr">
        <is>
          <t>T-AUX-PRD</t>
        </is>
      </c>
      <c r="B93" s="11" t="inlineStr">
        <is>
          <t>Pressure relief device operated</t>
        </is>
      </c>
      <c r="C93" s="11" t="inlineStr">
        <is>
          <t>Auxiliary transformer 100 kVA</t>
        </is>
      </c>
      <c r="D93" s="11" t="inlineStr">
        <is>
          <t>11 kV switchroom</t>
        </is>
      </c>
      <c r="E93" s="11" t="inlineStr">
        <is>
          <t>DI</t>
        </is>
      </c>
      <c r="F93" s="11" t="n">
        <v>2</v>
      </c>
      <c r="G93" s="11" t="inlineStr">
        <is>
          <t>R2-DI01</t>
        </is>
      </c>
      <c r="H93" s="11" t="inlineStr">
        <is>
          <t>DI-8112</t>
        </is>
      </c>
      <c r="I93" s="11" t="n">
        <v>5</v>
      </c>
      <c r="J93" s="11" t="inlineStr">
        <is>
          <t>Normally open</t>
        </is>
      </c>
      <c r="K93" s="11" t="inlineStr">
        <is>
          <t>1</t>
        </is>
      </c>
      <c r="L93" s="11" t="inlineStr">
        <is>
          <t>-</t>
        </is>
      </c>
      <c r="M93" s="11" t="n"/>
    </row>
    <row r="94" ht="25.5" customHeight="1">
      <c r="A94" s="11" t="inlineStr">
        <is>
          <t>T-AUX-OL-LOW</t>
        </is>
      </c>
      <c r="B94" s="11" t="inlineStr">
        <is>
          <t>Oil level low</t>
        </is>
      </c>
      <c r="C94" s="11" t="inlineStr">
        <is>
          <t>Auxiliary transformer 100 kVA</t>
        </is>
      </c>
      <c r="D94" s="11" t="inlineStr">
        <is>
          <t>11 kV switchroom</t>
        </is>
      </c>
      <c r="E94" s="11" t="inlineStr">
        <is>
          <t>DI</t>
        </is>
      </c>
      <c r="F94" s="11" t="n">
        <v>2</v>
      </c>
      <c r="G94" s="11" t="inlineStr">
        <is>
          <t>R2-DI01</t>
        </is>
      </c>
      <c r="H94" s="11" t="inlineStr">
        <is>
          <t>DI-8112</t>
        </is>
      </c>
      <c r="I94" s="11" t="n">
        <v>6</v>
      </c>
      <c r="J94" s="11" t="inlineStr">
        <is>
          <t>Normally open</t>
        </is>
      </c>
      <c r="K94" s="11" t="inlineStr">
        <is>
          <t>2</t>
        </is>
      </c>
      <c r="L94" s="11" t="inlineStr">
        <is>
          <t>-</t>
        </is>
      </c>
      <c r="M94" s="11" t="n"/>
    </row>
    <row r="95" ht="25.5" customHeight="1">
      <c r="A95" s="11" t="inlineStr">
        <is>
          <t>T-AUX-FUSE</t>
        </is>
      </c>
      <c r="B95" s="11" t="inlineStr">
        <is>
          <t>HV fuse blown (XRNT-3A striker)</t>
        </is>
      </c>
      <c r="C95" s="11" t="inlineStr">
        <is>
          <t>Auxiliary transformer 100 kVA</t>
        </is>
      </c>
      <c r="D95" s="11" t="inlineStr">
        <is>
          <t>11 kV switchroom</t>
        </is>
      </c>
      <c r="E95" s="11" t="inlineStr">
        <is>
          <t>DI</t>
        </is>
      </c>
      <c r="F95" s="11" t="n">
        <v>2</v>
      </c>
      <c r="G95" s="11" t="inlineStr">
        <is>
          <t>R2-DI02</t>
        </is>
      </c>
      <c r="H95" s="11" t="inlineStr">
        <is>
          <t>DI-8112</t>
        </is>
      </c>
      <c r="I95" s="11" t="n">
        <v>7</v>
      </c>
      <c r="J95" s="11" t="inlineStr">
        <is>
          <t>Normally open</t>
        </is>
      </c>
      <c r="K95" s="11" t="inlineStr">
        <is>
          <t>1</t>
        </is>
      </c>
      <c r="L95" s="11" t="inlineStr">
        <is>
          <t>-</t>
        </is>
      </c>
      <c r="M95" s="11" t="inlineStr">
        <is>
          <t>Added rev 1. The fuse is the only HV protection of this transformer</t>
        </is>
      </c>
    </row>
    <row r="96">
      <c r="A96" s="11" t="inlineStr">
        <is>
          <t>T-INV-OT-ALM</t>
        </is>
      </c>
      <c r="B96" s="11" t="inlineStr">
        <is>
          <t>Oil temperature alarm</t>
        </is>
      </c>
      <c r="C96" s="11" t="inlineStr">
        <is>
          <t>Inverter transformer</t>
        </is>
      </c>
      <c r="D96" s="11" t="inlineStr">
        <is>
          <t>BESS and inverter transformer yard</t>
        </is>
      </c>
      <c r="E96" s="11" t="inlineStr">
        <is>
          <t>DI</t>
        </is>
      </c>
      <c r="F96" s="11" t="n">
        <v>5</v>
      </c>
      <c r="G96" s="11" t="inlineStr">
        <is>
          <t>R5-DI01</t>
        </is>
      </c>
      <c r="H96" s="11" t="inlineStr">
        <is>
          <t>DI-8112</t>
        </is>
      </c>
      <c r="I96" s="11" t="n">
        <v>1</v>
      </c>
      <c r="J96" s="11" t="inlineStr">
        <is>
          <t>Normally open</t>
        </is>
      </c>
      <c r="K96" s="11" t="inlineStr">
        <is>
          <t>3</t>
        </is>
      </c>
      <c r="L96" s="11" t="inlineStr">
        <is>
          <t>-</t>
        </is>
      </c>
      <c r="M96" s="11" t="n"/>
    </row>
    <row r="97">
      <c r="A97" s="11" t="inlineStr">
        <is>
          <t>T-INV-OT-TRIP</t>
        </is>
      </c>
      <c r="B97" s="11" t="inlineStr">
        <is>
          <t>Oil temperature trip</t>
        </is>
      </c>
      <c r="C97" s="11" t="inlineStr">
        <is>
          <t>Inverter transformer</t>
        </is>
      </c>
      <c r="D97" s="11" t="inlineStr">
        <is>
          <t>BESS and inverter transformer yard</t>
        </is>
      </c>
      <c r="E97" s="11" t="inlineStr">
        <is>
          <t>DI</t>
        </is>
      </c>
      <c r="F97" s="11" t="n">
        <v>5</v>
      </c>
      <c r="G97" s="11" t="inlineStr">
        <is>
          <t>R5-DI01</t>
        </is>
      </c>
      <c r="H97" s="11" t="inlineStr">
        <is>
          <t>DI-8112</t>
        </is>
      </c>
      <c r="I97" s="11" t="n">
        <v>2</v>
      </c>
      <c r="J97" s="11" t="inlineStr">
        <is>
          <t>Normally open</t>
        </is>
      </c>
      <c r="K97" s="11" t="inlineStr">
        <is>
          <t>1</t>
        </is>
      </c>
      <c r="L97" s="11" t="inlineStr">
        <is>
          <t>-</t>
        </is>
      </c>
      <c r="M97" s="11" t="n"/>
    </row>
    <row r="98">
      <c r="A98" s="11" t="inlineStr">
        <is>
          <t>T-INV-WT-ALM</t>
        </is>
      </c>
      <c r="B98" s="11" t="inlineStr">
        <is>
          <t>Winding temperature alarm</t>
        </is>
      </c>
      <c r="C98" s="11" t="inlineStr">
        <is>
          <t>Inverter transformer</t>
        </is>
      </c>
      <c r="D98" s="11" t="inlineStr">
        <is>
          <t>BESS and inverter transformer yard</t>
        </is>
      </c>
      <c r="E98" s="11" t="inlineStr">
        <is>
          <t>DI</t>
        </is>
      </c>
      <c r="F98" s="11" t="n">
        <v>5</v>
      </c>
      <c r="G98" s="11" t="inlineStr">
        <is>
          <t>R5-DI01</t>
        </is>
      </c>
      <c r="H98" s="11" t="inlineStr">
        <is>
          <t>DI-8112</t>
        </is>
      </c>
      <c r="I98" s="11" t="n">
        <v>3</v>
      </c>
      <c r="J98" s="11" t="inlineStr">
        <is>
          <t>Normally open</t>
        </is>
      </c>
      <c r="K98" s="11" t="inlineStr">
        <is>
          <t>3</t>
        </is>
      </c>
      <c r="L98" s="11" t="inlineStr">
        <is>
          <t>-</t>
        </is>
      </c>
      <c r="M98" s="11" t="n"/>
    </row>
    <row r="99">
      <c r="A99" s="11" t="inlineStr">
        <is>
          <t>T-INV-WT-TRIP</t>
        </is>
      </c>
      <c r="B99" s="11" t="inlineStr">
        <is>
          <t>Winding temperature trip</t>
        </is>
      </c>
      <c r="C99" s="11" t="inlineStr">
        <is>
          <t>Inverter transformer</t>
        </is>
      </c>
      <c r="D99" s="11" t="inlineStr">
        <is>
          <t>BESS and inverter transformer yard</t>
        </is>
      </c>
      <c r="E99" s="11" t="inlineStr">
        <is>
          <t>DI</t>
        </is>
      </c>
      <c r="F99" s="11" t="n">
        <v>5</v>
      </c>
      <c r="G99" s="11" t="inlineStr">
        <is>
          <t>R5-DI01</t>
        </is>
      </c>
      <c r="H99" s="11" t="inlineStr">
        <is>
          <t>DI-8112</t>
        </is>
      </c>
      <c r="I99" s="11" t="n">
        <v>4</v>
      </c>
      <c r="J99" s="11" t="inlineStr">
        <is>
          <t>Normally open</t>
        </is>
      </c>
      <c r="K99" s="11" t="inlineStr">
        <is>
          <t>1</t>
        </is>
      </c>
      <c r="L99" s="11" t="inlineStr">
        <is>
          <t>-</t>
        </is>
      </c>
      <c r="M99" s="11" t="n"/>
    </row>
    <row r="100">
      <c r="A100" s="11" t="inlineStr">
        <is>
          <t>T-INV-PRD</t>
        </is>
      </c>
      <c r="B100" s="11" t="inlineStr">
        <is>
          <t>Pressure relief device operated</t>
        </is>
      </c>
      <c r="C100" s="11" t="inlineStr">
        <is>
          <t>Inverter transformer</t>
        </is>
      </c>
      <c r="D100" s="11" t="inlineStr">
        <is>
          <t>BESS and inverter transformer yard</t>
        </is>
      </c>
      <c r="E100" s="11" t="inlineStr">
        <is>
          <t>DI</t>
        </is>
      </c>
      <c r="F100" s="11" t="n">
        <v>5</v>
      </c>
      <c r="G100" s="11" t="inlineStr">
        <is>
          <t>R5-DI01</t>
        </is>
      </c>
      <c r="H100" s="11" t="inlineStr">
        <is>
          <t>DI-8112</t>
        </is>
      </c>
      <c r="I100" s="11" t="n">
        <v>5</v>
      </c>
      <c r="J100" s="11" t="inlineStr">
        <is>
          <t>Normally open</t>
        </is>
      </c>
      <c r="K100" s="11" t="inlineStr">
        <is>
          <t>1</t>
        </is>
      </c>
      <c r="L100" s="11" t="inlineStr">
        <is>
          <t>-</t>
        </is>
      </c>
      <c r="M100" s="11" t="n"/>
    </row>
    <row r="101">
      <c r="A101" s="11" t="inlineStr">
        <is>
          <t>T-INV-OL-LOW</t>
        </is>
      </c>
      <c r="B101" s="11" t="inlineStr">
        <is>
          <t>Oil level low</t>
        </is>
      </c>
      <c r="C101" s="11" t="inlineStr">
        <is>
          <t>Inverter transformer</t>
        </is>
      </c>
      <c r="D101" s="11" t="inlineStr">
        <is>
          <t>BESS and inverter transformer yard</t>
        </is>
      </c>
      <c r="E101" s="11" t="inlineStr">
        <is>
          <t>DI</t>
        </is>
      </c>
      <c r="F101" s="11" t="n">
        <v>5</v>
      </c>
      <c r="G101" s="11" t="inlineStr">
        <is>
          <t>R5-DI01</t>
        </is>
      </c>
      <c r="H101" s="11" t="inlineStr">
        <is>
          <t>DI-8112</t>
        </is>
      </c>
      <c r="I101" s="11" t="n">
        <v>6</v>
      </c>
      <c r="J101" s="11" t="inlineStr">
        <is>
          <t>Normally open</t>
        </is>
      </c>
      <c r="K101" s="11" t="inlineStr">
        <is>
          <t>2</t>
        </is>
      </c>
      <c r="L101" s="11" t="inlineStr">
        <is>
          <t>-</t>
        </is>
      </c>
      <c r="M101" s="11" t="n"/>
    </row>
    <row r="102">
      <c r="A102" s="11" t="inlineStr">
        <is>
          <t>PV-ACB-CLSD</t>
        </is>
      </c>
      <c r="B102" s="11" t="inlineStr">
        <is>
          <t>PV main LV breaker (ACB 1250 A) closed</t>
        </is>
      </c>
      <c r="C102" s="11" t="inlineStr">
        <is>
          <t>PV LV switchboard 0.8 kV (AC combiner)</t>
        </is>
      </c>
      <c r="D102" s="11" t="inlineStr">
        <is>
          <t>BESS and inverter transformer yard</t>
        </is>
      </c>
      <c r="E102" s="11" t="inlineStr">
        <is>
          <t>DI</t>
        </is>
      </c>
      <c r="F102" s="11" t="n">
        <v>5</v>
      </c>
      <c r="G102" s="11" t="inlineStr">
        <is>
          <t>R5-DI02</t>
        </is>
      </c>
      <c r="H102" s="11" t="inlineStr">
        <is>
          <t>DI-8112</t>
        </is>
      </c>
      <c r="I102" s="11" t="n">
        <v>3</v>
      </c>
      <c r="J102" s="11" t="inlineStr">
        <is>
          <t>Status</t>
        </is>
      </c>
      <c r="K102" s="11" t="inlineStr">
        <is>
          <t>Status</t>
        </is>
      </c>
      <c r="L102" s="11" t="inlineStr">
        <is>
          <t>-</t>
        </is>
      </c>
      <c r="M102" s="11" t="inlineStr">
        <is>
          <t>Added rev 1</t>
        </is>
      </c>
    </row>
    <row r="103">
      <c r="A103" s="11" t="inlineStr">
        <is>
          <t>PV-ACB-TRIP</t>
        </is>
      </c>
      <c r="B103" s="11" t="inlineStr">
        <is>
          <t>PV main LV breaker (ACB 1250 A) tripped</t>
        </is>
      </c>
      <c r="C103" s="11" t="inlineStr">
        <is>
          <t>PV LV switchboard 0.8 kV (AC combiner)</t>
        </is>
      </c>
      <c r="D103" s="11" t="inlineStr">
        <is>
          <t>BESS and inverter transformer yard</t>
        </is>
      </c>
      <c r="E103" s="11" t="inlineStr">
        <is>
          <t>DI</t>
        </is>
      </c>
      <c r="F103" s="11" t="n">
        <v>5</v>
      </c>
      <c r="G103" s="11" t="inlineStr">
        <is>
          <t>R5-DI02</t>
        </is>
      </c>
      <c r="H103" s="11" t="inlineStr">
        <is>
          <t>DI-8112</t>
        </is>
      </c>
      <c r="I103" s="11" t="n">
        <v>4</v>
      </c>
      <c r="J103" s="11" t="inlineStr">
        <is>
          <t>Normally open</t>
        </is>
      </c>
      <c r="K103" s="11" t="inlineStr">
        <is>
          <t>1</t>
        </is>
      </c>
      <c r="L103" s="11" t="inlineStr">
        <is>
          <t>-</t>
        </is>
      </c>
      <c r="M103" s="11" t="inlineStr">
        <is>
          <t>Added rev 1</t>
        </is>
      </c>
    </row>
    <row r="104">
      <c r="A104" s="11" t="inlineStr">
        <is>
          <t>NB01-MCCB-TRIP</t>
        </is>
      </c>
      <c r="B104" s="11" t="inlineStr">
        <is>
          <t>Inverter NB01 AC breaker (MCCB 400 A) tripped</t>
        </is>
      </c>
      <c r="C104" s="11" t="inlineStr">
        <is>
          <t>PV LV switchboard 0.8 kV (AC combiner)</t>
        </is>
      </c>
      <c r="D104" s="11" t="inlineStr">
        <is>
          <t>BESS and inverter transformer yard</t>
        </is>
      </c>
      <c r="E104" s="11" t="inlineStr">
        <is>
          <t>DI</t>
        </is>
      </c>
      <c r="F104" s="11" t="n">
        <v>5</v>
      </c>
      <c r="G104" s="11" t="inlineStr">
        <is>
          <t>R5-DI02</t>
        </is>
      </c>
      <c r="H104" s="11" t="inlineStr">
        <is>
          <t>DI-8112</t>
        </is>
      </c>
      <c r="I104" s="11" t="n">
        <v>5</v>
      </c>
      <c r="J104" s="11" t="inlineStr">
        <is>
          <t>Normally open</t>
        </is>
      </c>
      <c r="K104" s="11" t="inlineStr">
        <is>
          <t>2</t>
        </is>
      </c>
      <c r="L104" s="11" t="inlineStr">
        <is>
          <t>-</t>
        </is>
      </c>
      <c r="M104" s="11" t="inlineStr">
        <is>
          <t>Added rev 1</t>
        </is>
      </c>
    </row>
    <row r="105">
      <c r="A105" s="11" t="inlineStr">
        <is>
          <t>NB02-MCCB-TRIP</t>
        </is>
      </c>
      <c r="B105" s="11" t="inlineStr">
        <is>
          <t>Inverter NB02 AC breaker (MCCB 400 A) tripped</t>
        </is>
      </c>
      <c r="C105" s="11" t="inlineStr">
        <is>
          <t>PV LV switchboard 0.8 kV (AC combiner)</t>
        </is>
      </c>
      <c r="D105" s="11" t="inlineStr">
        <is>
          <t>BESS and inverter transformer yard</t>
        </is>
      </c>
      <c r="E105" s="11" t="inlineStr">
        <is>
          <t>DI</t>
        </is>
      </c>
      <c r="F105" s="11" t="n">
        <v>5</v>
      </c>
      <c r="G105" s="11" t="inlineStr">
        <is>
          <t>R5-DI02</t>
        </is>
      </c>
      <c r="H105" s="11" t="inlineStr">
        <is>
          <t>DI-8112</t>
        </is>
      </c>
      <c r="I105" s="11" t="n">
        <v>6</v>
      </c>
      <c r="J105" s="11" t="inlineStr">
        <is>
          <t>Normally open</t>
        </is>
      </c>
      <c r="K105" s="11" t="inlineStr">
        <is>
          <t>2</t>
        </is>
      </c>
      <c r="L105" s="11" t="inlineStr">
        <is>
          <t>-</t>
        </is>
      </c>
      <c r="M105" s="11" t="inlineStr">
        <is>
          <t>Added rev 1</t>
        </is>
      </c>
    </row>
    <row r="106">
      <c r="A106" s="11" t="inlineStr">
        <is>
          <t>NB03-MCCB-TRIP</t>
        </is>
      </c>
      <c r="B106" s="11" t="inlineStr">
        <is>
          <t>Inverter NB03 AC breaker (MCCB 400 A) tripped</t>
        </is>
      </c>
      <c r="C106" s="11" t="inlineStr">
        <is>
          <t>PV LV switchboard 0.8 kV (AC combiner)</t>
        </is>
      </c>
      <c r="D106" s="11" t="inlineStr">
        <is>
          <t>BESS and inverter transformer yard</t>
        </is>
      </c>
      <c r="E106" s="11" t="inlineStr">
        <is>
          <t>DI</t>
        </is>
      </c>
      <c r="F106" s="11" t="n">
        <v>5</v>
      </c>
      <c r="G106" s="11" t="inlineStr">
        <is>
          <t>R5-DI02</t>
        </is>
      </c>
      <c r="H106" s="11" t="inlineStr">
        <is>
          <t>DI-8112</t>
        </is>
      </c>
      <c r="I106" s="11" t="n">
        <v>7</v>
      </c>
      <c r="J106" s="11" t="inlineStr">
        <is>
          <t>Normally open</t>
        </is>
      </c>
      <c r="K106" s="11" t="inlineStr">
        <is>
          <t>2</t>
        </is>
      </c>
      <c r="L106" s="11" t="inlineStr">
        <is>
          <t>-</t>
        </is>
      </c>
      <c r="M106" s="11" t="inlineStr">
        <is>
          <t>Added rev 1</t>
        </is>
      </c>
    </row>
    <row r="107">
      <c r="A107" s="11" t="inlineStr">
        <is>
          <t>NB04-MCCB-TRIP</t>
        </is>
      </c>
      <c r="B107" s="11" t="inlineStr">
        <is>
          <t>Inverter NB04 AC breaker (MCCB 400 A) tripped</t>
        </is>
      </c>
      <c r="C107" s="11" t="inlineStr">
        <is>
          <t>PV LV switchboard 0.8 kV (AC combiner)</t>
        </is>
      </c>
      <c r="D107" s="11" t="inlineStr">
        <is>
          <t>BESS and inverter transformer yard</t>
        </is>
      </c>
      <c r="E107" s="11" t="inlineStr">
        <is>
          <t>DI</t>
        </is>
      </c>
      <c r="F107" s="11" t="n">
        <v>5</v>
      </c>
      <c r="G107" s="11" t="inlineStr">
        <is>
          <t>R5-DI02</t>
        </is>
      </c>
      <c r="H107" s="11" t="inlineStr">
        <is>
          <t>DI-8112</t>
        </is>
      </c>
      <c r="I107" s="11" t="n">
        <v>8</v>
      </c>
      <c r="J107" s="11" t="inlineStr">
        <is>
          <t>Normally open</t>
        </is>
      </c>
      <c r="K107" s="11" t="inlineStr">
        <is>
          <t>2</t>
        </is>
      </c>
      <c r="L107" s="11" t="inlineStr">
        <is>
          <t>-</t>
        </is>
      </c>
      <c r="M107" s="11" t="inlineStr">
        <is>
          <t>Added rev 1</t>
        </is>
      </c>
    </row>
    <row r="108">
      <c r="A108" s="11" t="inlineStr">
        <is>
          <t>BESS-ACB-CLSD</t>
        </is>
      </c>
      <c r="B108" s="11" t="inlineStr">
        <is>
          <t>Battery main LV breaker (ACB 1000 A) closed</t>
        </is>
      </c>
      <c r="C108" s="11" t="inlineStr">
        <is>
          <t>BESS LV breaker 0.69 kV</t>
        </is>
      </c>
      <c r="D108" s="11" t="inlineStr">
        <is>
          <t>BESS and inverter transformer yard</t>
        </is>
      </c>
      <c r="E108" s="11" t="inlineStr">
        <is>
          <t>DI</t>
        </is>
      </c>
      <c r="F108" s="11" t="n">
        <v>5</v>
      </c>
      <c r="G108" s="11" t="inlineStr">
        <is>
          <t>R5-DI02</t>
        </is>
      </c>
      <c r="H108" s="11" t="inlineStr">
        <is>
          <t>DI-8112</t>
        </is>
      </c>
      <c r="I108" s="11" t="n">
        <v>9</v>
      </c>
      <c r="J108" s="11" t="inlineStr">
        <is>
          <t>Status</t>
        </is>
      </c>
      <c r="K108" s="11" t="inlineStr">
        <is>
          <t>Status</t>
        </is>
      </c>
      <c r="L108" s="11" t="inlineStr">
        <is>
          <t>-</t>
        </is>
      </c>
      <c r="M108" s="11" t="inlineStr">
        <is>
          <t>Added rev 1</t>
        </is>
      </c>
    </row>
    <row r="109">
      <c r="A109" s="11" t="inlineStr">
        <is>
          <t>BESS-ACB-TRIP</t>
        </is>
      </c>
      <c r="B109" s="11" t="inlineStr">
        <is>
          <t>Battery main LV breaker (ACB 1000 A) tripped</t>
        </is>
      </c>
      <c r="C109" s="11" t="inlineStr">
        <is>
          <t>BESS LV breaker 0.69 kV</t>
        </is>
      </c>
      <c r="D109" s="11" t="inlineStr">
        <is>
          <t>BESS and inverter transformer yard</t>
        </is>
      </c>
      <c r="E109" s="11" t="inlineStr">
        <is>
          <t>DI</t>
        </is>
      </c>
      <c r="F109" s="11" t="n">
        <v>5</v>
      </c>
      <c r="G109" s="11" t="inlineStr">
        <is>
          <t>R5-DI02</t>
        </is>
      </c>
      <c r="H109" s="11" t="inlineStr">
        <is>
          <t>DI-8112</t>
        </is>
      </c>
      <c r="I109" s="11" t="n">
        <v>10</v>
      </c>
      <c r="J109" s="11" t="inlineStr">
        <is>
          <t>Normally open</t>
        </is>
      </c>
      <c r="K109" s="11" t="inlineStr">
        <is>
          <t>1</t>
        </is>
      </c>
      <c r="L109" s="11" t="inlineStr">
        <is>
          <t>-</t>
        </is>
      </c>
      <c r="M109" s="11" t="inlineStr">
        <is>
          <t>Added rev 1</t>
        </is>
      </c>
    </row>
    <row r="110" ht="25.5" customHeight="1">
      <c r="A110" s="11" t="inlineStr">
        <is>
          <t>T-DG-OT-ALM</t>
        </is>
      </c>
      <c r="B110" s="11" t="inlineStr">
        <is>
          <t>Oil temperature alarm</t>
        </is>
      </c>
      <c r="C110" s="11" t="inlineStr">
        <is>
          <t>Generator step-up transformer</t>
        </is>
      </c>
      <c r="D110" s="11" t="inlineStr">
        <is>
          <t>Generator area</t>
        </is>
      </c>
      <c r="E110" s="11" t="inlineStr">
        <is>
          <t>DI</t>
        </is>
      </c>
      <c r="F110" s="11" t="n">
        <v>6</v>
      </c>
      <c r="G110" s="11" t="inlineStr">
        <is>
          <t>R6-DI01</t>
        </is>
      </c>
      <c r="H110" s="11" t="inlineStr">
        <is>
          <t>DI-8112</t>
        </is>
      </c>
      <c r="I110" s="11" t="n">
        <v>1</v>
      </c>
      <c r="J110" s="11" t="inlineStr">
        <is>
          <t>Normally open</t>
        </is>
      </c>
      <c r="K110" s="11" t="inlineStr">
        <is>
          <t>3</t>
        </is>
      </c>
      <c r="L110" s="11" t="inlineStr">
        <is>
          <t>-</t>
        </is>
      </c>
      <c r="M110" s="11" t="n"/>
    </row>
    <row r="111" ht="25.5" customHeight="1">
      <c r="A111" s="11" t="inlineStr">
        <is>
          <t>T-DG-OT-TRIP</t>
        </is>
      </c>
      <c r="B111" s="11" t="inlineStr">
        <is>
          <t>Oil temperature trip</t>
        </is>
      </c>
      <c r="C111" s="11" t="inlineStr">
        <is>
          <t>Generator step-up transformer</t>
        </is>
      </c>
      <c r="D111" s="11" t="inlineStr">
        <is>
          <t>Generator area</t>
        </is>
      </c>
      <c r="E111" s="11" t="inlineStr">
        <is>
          <t>DI</t>
        </is>
      </c>
      <c r="F111" s="11" t="n">
        <v>6</v>
      </c>
      <c r="G111" s="11" t="inlineStr">
        <is>
          <t>R6-DI01</t>
        </is>
      </c>
      <c r="H111" s="11" t="inlineStr">
        <is>
          <t>DI-8112</t>
        </is>
      </c>
      <c r="I111" s="11" t="n">
        <v>2</v>
      </c>
      <c r="J111" s="11" t="inlineStr">
        <is>
          <t>Normally open</t>
        </is>
      </c>
      <c r="K111" s="11" t="inlineStr">
        <is>
          <t>1</t>
        </is>
      </c>
      <c r="L111" s="11" t="inlineStr">
        <is>
          <t>-</t>
        </is>
      </c>
      <c r="M111" s="11" t="n"/>
    </row>
    <row r="112" ht="25.5" customHeight="1">
      <c r="A112" s="11" t="inlineStr">
        <is>
          <t>T-DG-WT-ALM</t>
        </is>
      </c>
      <c r="B112" s="11" t="inlineStr">
        <is>
          <t>Winding temperature alarm</t>
        </is>
      </c>
      <c r="C112" s="11" t="inlineStr">
        <is>
          <t>Generator step-up transformer</t>
        </is>
      </c>
      <c r="D112" s="11" t="inlineStr">
        <is>
          <t>Generator area</t>
        </is>
      </c>
      <c r="E112" s="11" t="inlineStr">
        <is>
          <t>DI</t>
        </is>
      </c>
      <c r="F112" s="11" t="n">
        <v>6</v>
      </c>
      <c r="G112" s="11" t="inlineStr">
        <is>
          <t>R6-DI01</t>
        </is>
      </c>
      <c r="H112" s="11" t="inlineStr">
        <is>
          <t>DI-8112</t>
        </is>
      </c>
      <c r="I112" s="11" t="n">
        <v>3</v>
      </c>
      <c r="J112" s="11" t="inlineStr">
        <is>
          <t>Normally open</t>
        </is>
      </c>
      <c r="K112" s="11" t="inlineStr">
        <is>
          <t>3</t>
        </is>
      </c>
      <c r="L112" s="11" t="inlineStr">
        <is>
          <t>-</t>
        </is>
      </c>
      <c r="M112" s="11" t="n"/>
    </row>
    <row r="113" ht="25.5" customHeight="1">
      <c r="A113" s="11" t="inlineStr">
        <is>
          <t>T-DG-WT-TRIP</t>
        </is>
      </c>
      <c r="B113" s="11" t="inlineStr">
        <is>
          <t>Winding temperature trip</t>
        </is>
      </c>
      <c r="C113" s="11" t="inlineStr">
        <is>
          <t>Generator step-up transformer</t>
        </is>
      </c>
      <c r="D113" s="11" t="inlineStr">
        <is>
          <t>Generator area</t>
        </is>
      </c>
      <c r="E113" s="11" t="inlineStr">
        <is>
          <t>DI</t>
        </is>
      </c>
      <c r="F113" s="11" t="n">
        <v>6</v>
      </c>
      <c r="G113" s="11" t="inlineStr">
        <is>
          <t>R6-DI01</t>
        </is>
      </c>
      <c r="H113" s="11" t="inlineStr">
        <is>
          <t>DI-8112</t>
        </is>
      </c>
      <c r="I113" s="11" t="n">
        <v>4</v>
      </c>
      <c r="J113" s="11" t="inlineStr">
        <is>
          <t>Normally open</t>
        </is>
      </c>
      <c r="K113" s="11" t="inlineStr">
        <is>
          <t>1</t>
        </is>
      </c>
      <c r="L113" s="11" t="inlineStr">
        <is>
          <t>-</t>
        </is>
      </c>
      <c r="M113" s="11" t="n"/>
    </row>
    <row r="114" ht="25.5" customHeight="1">
      <c r="A114" s="11" t="inlineStr">
        <is>
          <t>T-DG-PRD</t>
        </is>
      </c>
      <c r="B114" s="11" t="inlineStr">
        <is>
          <t>Pressure relief device operated</t>
        </is>
      </c>
      <c r="C114" s="11" t="inlineStr">
        <is>
          <t>Generator step-up transformer</t>
        </is>
      </c>
      <c r="D114" s="11" t="inlineStr">
        <is>
          <t>Generator area</t>
        </is>
      </c>
      <c r="E114" s="11" t="inlineStr">
        <is>
          <t>DI</t>
        </is>
      </c>
      <c r="F114" s="11" t="n">
        <v>6</v>
      </c>
      <c r="G114" s="11" t="inlineStr">
        <is>
          <t>R6-DI01</t>
        </is>
      </c>
      <c r="H114" s="11" t="inlineStr">
        <is>
          <t>DI-8112</t>
        </is>
      </c>
      <c r="I114" s="11" t="n">
        <v>5</v>
      </c>
      <c r="J114" s="11" t="inlineStr">
        <is>
          <t>Normally open</t>
        </is>
      </c>
      <c r="K114" s="11" t="inlineStr">
        <is>
          <t>1</t>
        </is>
      </c>
      <c r="L114" s="11" t="inlineStr">
        <is>
          <t>-</t>
        </is>
      </c>
      <c r="M114" s="11" t="n"/>
    </row>
    <row r="115" ht="25.5" customHeight="1">
      <c r="A115" s="11" t="inlineStr">
        <is>
          <t>T-DG-OL-LOW</t>
        </is>
      </c>
      <c r="B115" s="11" t="inlineStr">
        <is>
          <t>Oil level low</t>
        </is>
      </c>
      <c r="C115" s="11" t="inlineStr">
        <is>
          <t>Generator step-up transformer</t>
        </is>
      </c>
      <c r="D115" s="11" t="inlineStr">
        <is>
          <t>Generator area</t>
        </is>
      </c>
      <c r="E115" s="11" t="inlineStr">
        <is>
          <t>DI</t>
        </is>
      </c>
      <c r="F115" s="11" t="n">
        <v>6</v>
      </c>
      <c r="G115" s="11" t="inlineStr">
        <is>
          <t>R6-DI01</t>
        </is>
      </c>
      <c r="H115" s="11" t="inlineStr">
        <is>
          <t>DI-8112</t>
        </is>
      </c>
      <c r="I115" s="11" t="n">
        <v>6</v>
      </c>
      <c r="J115" s="11" t="inlineStr">
        <is>
          <t>Normally open</t>
        </is>
      </c>
      <c r="K115" s="11" t="inlineStr">
        <is>
          <t>2</t>
        </is>
      </c>
      <c r="L115" s="11" t="inlineStr">
        <is>
          <t>-</t>
        </is>
      </c>
      <c r="M115" s="11" t="n"/>
    </row>
    <row r="116" ht="25.5" customHeight="1">
      <c r="A116" s="11" t="inlineStr">
        <is>
          <t>GEN-ACB-CLSD</t>
        </is>
      </c>
      <c r="B116" s="11" t="inlineStr">
        <is>
          <t>DG step-up transformer LV breaker closed</t>
        </is>
      </c>
      <c r="C116" s="11" t="inlineStr">
        <is>
          <t>Generator step-up transformer</t>
        </is>
      </c>
      <c r="D116" s="11" t="inlineStr">
        <is>
          <t>Generator area</t>
        </is>
      </c>
      <c r="E116" s="11" t="inlineStr">
        <is>
          <t>DI</t>
        </is>
      </c>
      <c r="F116" s="11" t="n">
        <v>6</v>
      </c>
      <c r="G116" s="11" t="inlineStr">
        <is>
          <t>R6-DI02</t>
        </is>
      </c>
      <c r="H116" s="11" t="inlineStr">
        <is>
          <t>DI-8112</t>
        </is>
      </c>
      <c r="I116" s="11" t="n">
        <v>1</v>
      </c>
      <c r="J116" s="11" t="inlineStr">
        <is>
          <t>Status</t>
        </is>
      </c>
      <c r="K116" s="11" t="inlineStr">
        <is>
          <t>Status</t>
        </is>
      </c>
      <c r="L116" s="11" t="inlineStr">
        <is>
          <t>-</t>
        </is>
      </c>
      <c r="M116" s="11" t="inlineStr">
        <is>
          <t>Added rev 1</t>
        </is>
      </c>
    </row>
    <row r="117" ht="25.5" customHeight="1">
      <c r="A117" s="11" t="inlineStr">
        <is>
          <t>GEN-ACB-TRIP</t>
        </is>
      </c>
      <c r="B117" s="11" t="inlineStr">
        <is>
          <t>DG step-up transformer LV breaker tripped</t>
        </is>
      </c>
      <c r="C117" s="11" t="inlineStr">
        <is>
          <t>Generator step-up transformer</t>
        </is>
      </c>
      <c r="D117" s="11" t="inlineStr">
        <is>
          <t>Generator area</t>
        </is>
      </c>
      <c r="E117" s="11" t="inlineStr">
        <is>
          <t>DI</t>
        </is>
      </c>
      <c r="F117" s="11" t="n">
        <v>6</v>
      </c>
      <c r="G117" s="11" t="inlineStr">
        <is>
          <t>R6-DI02</t>
        </is>
      </c>
      <c r="H117" s="11" t="inlineStr">
        <is>
          <t>DI-8112</t>
        </is>
      </c>
      <c r="I117" s="11" t="n">
        <v>2</v>
      </c>
      <c r="J117" s="11" t="inlineStr">
        <is>
          <t>Normally open</t>
        </is>
      </c>
      <c r="K117" s="11" t="inlineStr">
        <is>
          <t>1</t>
        </is>
      </c>
      <c r="L117" s="11" t="inlineStr">
        <is>
          <t>-</t>
        </is>
      </c>
      <c r="M117" s="11" t="inlineStr">
        <is>
          <t>Added rev 1</t>
        </is>
      </c>
    </row>
    <row r="118">
      <c r="A118" s="11" t="inlineStr">
        <is>
          <t>DG1-GCB-CLSD</t>
        </is>
      </c>
      <c r="B118" s="11" t="inlineStr">
        <is>
          <t>Generator breaker closed</t>
        </is>
      </c>
      <c r="C118" s="11" t="inlineStr">
        <is>
          <t>Diesel generator DG1</t>
        </is>
      </c>
      <c r="D118" s="11" t="inlineStr">
        <is>
          <t>Generator area</t>
        </is>
      </c>
      <c r="E118" s="11" t="inlineStr">
        <is>
          <t>DI</t>
        </is>
      </c>
      <c r="F118" s="11" t="n">
        <v>6</v>
      </c>
      <c r="G118" s="11" t="inlineStr">
        <is>
          <t>R6-DI01</t>
        </is>
      </c>
      <c r="H118" s="11" t="inlineStr">
        <is>
          <t>DI-8112</t>
        </is>
      </c>
      <c r="I118" s="11" t="n">
        <v>7</v>
      </c>
      <c r="J118" s="11" t="inlineStr">
        <is>
          <t>Status</t>
        </is>
      </c>
      <c r="K118" s="11" t="inlineStr">
        <is>
          <t>Status</t>
        </is>
      </c>
      <c r="L118" s="11" t="inlineStr">
        <is>
          <t>-</t>
        </is>
      </c>
      <c r="M118" s="11" t="inlineStr">
        <is>
          <t>Backup to Modbus status</t>
        </is>
      </c>
    </row>
    <row r="119">
      <c r="A119" s="11" t="inlineStr">
        <is>
          <t>DG1-COM-ALM</t>
        </is>
      </c>
      <c r="B119" s="11" t="inlineStr">
        <is>
          <t>Common alarm</t>
        </is>
      </c>
      <c r="C119" s="11" t="inlineStr">
        <is>
          <t>Diesel generator DG1</t>
        </is>
      </c>
      <c r="D119" s="11" t="inlineStr">
        <is>
          <t>Generator area</t>
        </is>
      </c>
      <c r="E119" s="11" t="inlineStr">
        <is>
          <t>DI</t>
        </is>
      </c>
      <c r="F119" s="11" t="n">
        <v>6</v>
      </c>
      <c r="G119" s="11" t="inlineStr">
        <is>
          <t>R6-DI01</t>
        </is>
      </c>
      <c r="H119" s="11" t="inlineStr">
        <is>
          <t>DI-8112</t>
        </is>
      </c>
      <c r="I119" s="11" t="n">
        <v>8</v>
      </c>
      <c r="J119" s="11" t="inlineStr">
        <is>
          <t>Normally open</t>
        </is>
      </c>
      <c r="K119" s="11" t="inlineStr">
        <is>
          <t>2</t>
        </is>
      </c>
      <c r="L119" s="11" t="inlineStr">
        <is>
          <t>-</t>
        </is>
      </c>
      <c r="M119" s="11" t="n"/>
    </row>
    <row r="120">
      <c r="A120" s="11" t="inlineStr">
        <is>
          <t>DG1-ESTOP</t>
        </is>
      </c>
      <c r="B120" s="11" t="inlineStr">
        <is>
          <t>Emergency stop active</t>
        </is>
      </c>
      <c r="C120" s="11" t="inlineStr">
        <is>
          <t>Diesel generator DG1</t>
        </is>
      </c>
      <c r="D120" s="11" t="inlineStr">
        <is>
          <t>Generator area</t>
        </is>
      </c>
      <c r="E120" s="11" t="inlineStr">
        <is>
          <t>DI</t>
        </is>
      </c>
      <c r="F120" s="11" t="n">
        <v>6</v>
      </c>
      <c r="G120" s="11" t="inlineStr">
        <is>
          <t>R6-DI01</t>
        </is>
      </c>
      <c r="H120" s="11" t="inlineStr">
        <is>
          <t>DI-8112</t>
        </is>
      </c>
      <c r="I120" s="11" t="n">
        <v>9</v>
      </c>
      <c r="J120" s="11" t="inlineStr">
        <is>
          <t>Normally open</t>
        </is>
      </c>
      <c r="K120" s="11" t="inlineStr">
        <is>
          <t>1</t>
        </is>
      </c>
      <c r="L120" s="11" t="inlineStr">
        <is>
          <t>-</t>
        </is>
      </c>
      <c r="M120" s="11" t="n"/>
    </row>
    <row r="121">
      <c r="A121" s="11" t="inlineStr">
        <is>
          <t>DG1-RUN</t>
        </is>
      </c>
      <c r="B121" s="11" t="inlineStr">
        <is>
          <t>Engine running</t>
        </is>
      </c>
      <c r="C121" s="11" t="inlineStr">
        <is>
          <t>Diesel generator DG1</t>
        </is>
      </c>
      <c r="D121" s="11" t="inlineStr">
        <is>
          <t>Generator area</t>
        </is>
      </c>
      <c r="E121" s="11" t="inlineStr">
        <is>
          <t>DI</t>
        </is>
      </c>
      <c r="F121" s="11" t="n">
        <v>6</v>
      </c>
      <c r="G121" s="11" t="inlineStr">
        <is>
          <t>R6-DI01</t>
        </is>
      </c>
      <c r="H121" s="11" t="inlineStr">
        <is>
          <t>DI-8112</t>
        </is>
      </c>
      <c r="I121" s="11" t="n">
        <v>10</v>
      </c>
      <c r="J121" s="11" t="inlineStr">
        <is>
          <t>Status</t>
        </is>
      </c>
      <c r="K121" s="11" t="inlineStr">
        <is>
          <t>Status</t>
        </is>
      </c>
      <c r="L121" s="11" t="inlineStr">
        <is>
          <t>-</t>
        </is>
      </c>
      <c r="M121" s="11" t="n"/>
    </row>
    <row r="122">
      <c r="A122" s="11" t="inlineStr">
        <is>
          <t>DG2-GCB-CLSD</t>
        </is>
      </c>
      <c r="B122" s="11" t="inlineStr">
        <is>
          <t>Generator breaker closed</t>
        </is>
      </c>
      <c r="C122" s="11" t="inlineStr">
        <is>
          <t>Diesel generator DG2</t>
        </is>
      </c>
      <c r="D122" s="11" t="inlineStr">
        <is>
          <t>Generator area</t>
        </is>
      </c>
      <c r="E122" s="11" t="inlineStr">
        <is>
          <t>DI</t>
        </is>
      </c>
      <c r="F122" s="11" t="n">
        <v>6</v>
      </c>
      <c r="G122" s="11" t="inlineStr">
        <is>
          <t>R6-DI01</t>
        </is>
      </c>
      <c r="H122" s="11" t="inlineStr">
        <is>
          <t>DI-8112</t>
        </is>
      </c>
      <c r="I122" s="11" t="n">
        <v>11</v>
      </c>
      <c r="J122" s="11" t="inlineStr">
        <is>
          <t>Status</t>
        </is>
      </c>
      <c r="K122" s="11" t="inlineStr">
        <is>
          <t>Status</t>
        </is>
      </c>
      <c r="L122" s="11" t="inlineStr">
        <is>
          <t>-</t>
        </is>
      </c>
      <c r="M122" s="11" t="inlineStr">
        <is>
          <t>Backup to Modbus status</t>
        </is>
      </c>
    </row>
    <row r="123">
      <c r="A123" s="11" t="inlineStr">
        <is>
          <t>DG2-COM-ALM</t>
        </is>
      </c>
      <c r="B123" s="11" t="inlineStr">
        <is>
          <t>Common alarm</t>
        </is>
      </c>
      <c r="C123" s="11" t="inlineStr">
        <is>
          <t>Diesel generator DG2</t>
        </is>
      </c>
      <c r="D123" s="11" t="inlineStr">
        <is>
          <t>Generator area</t>
        </is>
      </c>
      <c r="E123" s="11" t="inlineStr">
        <is>
          <t>DI</t>
        </is>
      </c>
      <c r="F123" s="11" t="n">
        <v>6</v>
      </c>
      <c r="G123" s="11" t="inlineStr">
        <is>
          <t>R6-DI01</t>
        </is>
      </c>
      <c r="H123" s="11" t="inlineStr">
        <is>
          <t>DI-8112</t>
        </is>
      </c>
      <c r="I123" s="11" t="n">
        <v>12</v>
      </c>
      <c r="J123" s="11" t="inlineStr">
        <is>
          <t>Normally open</t>
        </is>
      </c>
      <c r="K123" s="11" t="inlineStr">
        <is>
          <t>2</t>
        </is>
      </c>
      <c r="L123" s="11" t="inlineStr">
        <is>
          <t>-</t>
        </is>
      </c>
      <c r="M123" s="11" t="n"/>
    </row>
    <row r="124">
      <c r="A124" s="11" t="inlineStr">
        <is>
          <t>DG2-ESTOP</t>
        </is>
      </c>
      <c r="B124" s="11" t="inlineStr">
        <is>
          <t>Emergency stop active</t>
        </is>
      </c>
      <c r="C124" s="11" t="inlineStr">
        <is>
          <t>Diesel generator DG2</t>
        </is>
      </c>
      <c r="D124" s="11" t="inlineStr">
        <is>
          <t>Generator area</t>
        </is>
      </c>
      <c r="E124" s="11" t="inlineStr">
        <is>
          <t>DI</t>
        </is>
      </c>
      <c r="F124" s="11" t="n">
        <v>6</v>
      </c>
      <c r="G124" s="11" t="inlineStr">
        <is>
          <t>R6-DI01</t>
        </is>
      </c>
      <c r="H124" s="11" t="inlineStr">
        <is>
          <t>DI-8112</t>
        </is>
      </c>
      <c r="I124" s="11" t="n">
        <v>13</v>
      </c>
      <c r="J124" s="11" t="inlineStr">
        <is>
          <t>Normally open</t>
        </is>
      </c>
      <c r="K124" s="11" t="inlineStr">
        <is>
          <t>1</t>
        </is>
      </c>
      <c r="L124" s="11" t="inlineStr">
        <is>
          <t>-</t>
        </is>
      </c>
      <c r="M124" s="11" t="n"/>
    </row>
    <row r="125">
      <c r="A125" s="11" t="inlineStr">
        <is>
          <t>DG2-RUN</t>
        </is>
      </c>
      <c r="B125" s="11" t="inlineStr">
        <is>
          <t>Engine running</t>
        </is>
      </c>
      <c r="C125" s="11" t="inlineStr">
        <is>
          <t>Diesel generator DG2</t>
        </is>
      </c>
      <c r="D125" s="11" t="inlineStr">
        <is>
          <t>Generator area</t>
        </is>
      </c>
      <c r="E125" s="11" t="inlineStr">
        <is>
          <t>DI</t>
        </is>
      </c>
      <c r="F125" s="11" t="n">
        <v>6</v>
      </c>
      <c r="G125" s="11" t="inlineStr">
        <is>
          <t>R6-DI01</t>
        </is>
      </c>
      <c r="H125" s="11" t="inlineStr">
        <is>
          <t>DI-8112</t>
        </is>
      </c>
      <c r="I125" s="11" t="n">
        <v>14</v>
      </c>
      <c r="J125" s="11" t="inlineStr">
        <is>
          <t>Status</t>
        </is>
      </c>
      <c r="K125" s="11" t="inlineStr">
        <is>
          <t>Status</t>
        </is>
      </c>
      <c r="L125" s="11" t="inlineStr">
        <is>
          <t>-</t>
        </is>
      </c>
      <c r="M125" s="11" t="n"/>
    </row>
    <row r="126">
      <c r="A126" s="11" t="inlineStr">
        <is>
          <t>FIRE-PREALM</t>
        </is>
      </c>
      <c r="B126" s="11" t="inlineStr">
        <is>
          <t>Pre-alarm</t>
        </is>
      </c>
      <c r="C126" s="11" t="inlineStr">
        <is>
          <t>Fire detection and suppression panel</t>
        </is>
      </c>
      <c r="D126" s="11" t="inlineStr">
        <is>
          <t>BESS and inverter transformer yard</t>
        </is>
      </c>
      <c r="E126" s="11" t="inlineStr">
        <is>
          <t>DI</t>
        </is>
      </c>
      <c r="F126" s="11" t="n">
        <v>5</v>
      </c>
      <c r="G126" s="11" t="inlineStr">
        <is>
          <t>R5-DI01</t>
        </is>
      </c>
      <c r="H126" s="11" t="inlineStr">
        <is>
          <t>DI-8112</t>
        </is>
      </c>
      <c r="I126" s="11" t="n">
        <v>7</v>
      </c>
      <c r="J126" s="11" t="inlineStr">
        <is>
          <t>Normally open</t>
        </is>
      </c>
      <c r="K126" s="11" t="inlineStr">
        <is>
          <t>2</t>
        </is>
      </c>
      <c r="L126" s="11" t="inlineStr">
        <is>
          <t>-</t>
        </is>
      </c>
      <c r="M126" s="11" t="inlineStr">
        <is>
          <t>Reset at panel only</t>
        </is>
      </c>
    </row>
    <row r="127">
      <c r="A127" s="11" t="inlineStr">
        <is>
          <t>FIRE-ALM</t>
        </is>
      </c>
      <c r="B127" s="11" t="inlineStr">
        <is>
          <t>Fire alarm</t>
        </is>
      </c>
      <c r="C127" s="11" t="inlineStr">
        <is>
          <t>Fire detection and suppression panel</t>
        </is>
      </c>
      <c r="D127" s="11" t="inlineStr">
        <is>
          <t>BESS and inverter transformer yard</t>
        </is>
      </c>
      <c r="E127" s="11" t="inlineStr">
        <is>
          <t>DI</t>
        </is>
      </c>
      <c r="F127" s="11" t="n">
        <v>5</v>
      </c>
      <c r="G127" s="11" t="inlineStr">
        <is>
          <t>R5-DI01</t>
        </is>
      </c>
      <c r="H127" s="11" t="inlineStr">
        <is>
          <t>DI-8112</t>
        </is>
      </c>
      <c r="I127" s="11" t="n">
        <v>8</v>
      </c>
      <c r="J127" s="11" t="inlineStr">
        <is>
          <t>Normally open</t>
        </is>
      </c>
      <c r="K127" s="11" t="inlineStr">
        <is>
          <t>1</t>
        </is>
      </c>
      <c r="L127" s="11" t="inlineStr">
        <is>
          <t>-</t>
        </is>
      </c>
      <c r="M127" s="11" t="inlineStr">
        <is>
          <t>Reset at panel only</t>
        </is>
      </c>
    </row>
    <row r="128">
      <c r="A128" s="11" t="inlineStr">
        <is>
          <t>FIRE-FLT</t>
        </is>
      </c>
      <c r="B128" s="11" t="inlineStr">
        <is>
          <t>System fault</t>
        </is>
      </c>
      <c r="C128" s="11" t="inlineStr">
        <is>
          <t>Fire detection and suppression panel</t>
        </is>
      </c>
      <c r="D128" s="11" t="inlineStr">
        <is>
          <t>BESS and inverter transformer yard</t>
        </is>
      </c>
      <c r="E128" s="11" t="inlineStr">
        <is>
          <t>DI</t>
        </is>
      </c>
      <c r="F128" s="11" t="n">
        <v>5</v>
      </c>
      <c r="G128" s="11" t="inlineStr">
        <is>
          <t>R5-DI01</t>
        </is>
      </c>
      <c r="H128" s="11" t="inlineStr">
        <is>
          <t>DI-8112</t>
        </is>
      </c>
      <c r="I128" s="11" t="n">
        <v>9</v>
      </c>
      <c r="J128" s="11" t="inlineStr">
        <is>
          <t>Normally open</t>
        </is>
      </c>
      <c r="K128" s="11" t="inlineStr">
        <is>
          <t>2</t>
        </is>
      </c>
      <c r="L128" s="11" t="inlineStr">
        <is>
          <t>-</t>
        </is>
      </c>
      <c r="M128" s="11" t="inlineStr">
        <is>
          <t>Reset at panel only</t>
        </is>
      </c>
    </row>
    <row r="129">
      <c r="A129" s="11" t="inlineStr">
        <is>
          <t>FIRE-REL</t>
        </is>
      </c>
      <c r="B129" s="11" t="inlineStr">
        <is>
          <t>Suppression released</t>
        </is>
      </c>
      <c r="C129" s="11" t="inlineStr">
        <is>
          <t>Fire detection and suppression panel</t>
        </is>
      </c>
      <c r="D129" s="11" t="inlineStr">
        <is>
          <t>BESS and inverter transformer yard</t>
        </is>
      </c>
      <c r="E129" s="11" t="inlineStr">
        <is>
          <t>DI</t>
        </is>
      </c>
      <c r="F129" s="11" t="n">
        <v>5</v>
      </c>
      <c r="G129" s="11" t="inlineStr">
        <is>
          <t>R5-DI01</t>
        </is>
      </c>
      <c r="H129" s="11" t="inlineStr">
        <is>
          <t>DI-8112</t>
        </is>
      </c>
      <c r="I129" s="11" t="n">
        <v>10</v>
      </c>
      <c r="J129" s="11" t="inlineStr">
        <is>
          <t>Normally open</t>
        </is>
      </c>
      <c r="K129" s="11" t="inlineStr">
        <is>
          <t>1</t>
        </is>
      </c>
      <c r="L129" s="11" t="inlineStr">
        <is>
          <t>-</t>
        </is>
      </c>
      <c r="M129" s="11" t="inlineStr">
        <is>
          <t>Reset at panel only</t>
        </is>
      </c>
    </row>
    <row r="130" ht="25.5" customHeight="1">
      <c r="A130" s="11" t="inlineStr">
        <is>
          <t>FIRE-AGENT-LOW</t>
        </is>
      </c>
      <c r="B130" s="11" t="inlineStr">
        <is>
          <t>Agent pressure low</t>
        </is>
      </c>
      <c r="C130" s="11" t="inlineStr">
        <is>
          <t>Fire detection and suppression panel</t>
        </is>
      </c>
      <c r="D130" s="11" t="inlineStr">
        <is>
          <t>BESS and inverter transformer yard</t>
        </is>
      </c>
      <c r="E130" s="11" t="inlineStr">
        <is>
          <t>DI</t>
        </is>
      </c>
      <c r="F130" s="11" t="n">
        <v>5</v>
      </c>
      <c r="G130" s="11" t="inlineStr">
        <is>
          <t>R5-DI01</t>
        </is>
      </c>
      <c r="H130" s="11" t="inlineStr">
        <is>
          <t>DI-8112</t>
        </is>
      </c>
      <c r="I130" s="11" t="n">
        <v>11</v>
      </c>
      <c r="J130" s="11" t="inlineStr">
        <is>
          <t>Normally open</t>
        </is>
      </c>
      <c r="K130" s="11" t="inlineStr">
        <is>
          <t>2</t>
        </is>
      </c>
      <c r="L130" s="11" t="inlineStr">
        <is>
          <t>-</t>
        </is>
      </c>
      <c r="M130" s="11" t="inlineStr">
        <is>
          <t>Reset at panel only</t>
        </is>
      </c>
    </row>
    <row r="131" ht="25.5" customHeight="1">
      <c r="A131" s="11" t="inlineStr">
        <is>
          <t>FIRE-ISOL</t>
        </is>
      </c>
      <c r="B131" s="11" t="inlineStr">
        <is>
          <t>System isolated</t>
        </is>
      </c>
      <c r="C131" s="11" t="inlineStr">
        <is>
          <t>Fire detection and suppression panel</t>
        </is>
      </c>
      <c r="D131" s="11" t="inlineStr">
        <is>
          <t>BESS and inverter transformer yard</t>
        </is>
      </c>
      <c r="E131" s="11" t="inlineStr">
        <is>
          <t>DI</t>
        </is>
      </c>
      <c r="F131" s="11" t="n">
        <v>5</v>
      </c>
      <c r="G131" s="11" t="inlineStr">
        <is>
          <t>R5-DI01</t>
        </is>
      </c>
      <c r="H131" s="11" t="inlineStr">
        <is>
          <t>DI-8112</t>
        </is>
      </c>
      <c r="I131" s="11" t="n">
        <v>12</v>
      </c>
      <c r="J131" s="11" t="inlineStr">
        <is>
          <t>Normally open</t>
        </is>
      </c>
      <c r="K131" s="11" t="inlineStr">
        <is>
          <t>2</t>
        </is>
      </c>
      <c r="L131" s="11" t="inlineStr">
        <is>
          <t>-</t>
        </is>
      </c>
      <c r="M131" s="11" t="inlineStr">
        <is>
          <t>Reset at panel only</t>
        </is>
      </c>
    </row>
    <row r="132" ht="25.5" customHeight="1">
      <c r="A132" s="11" t="inlineStr">
        <is>
          <t>FIRE-MAN-REL</t>
        </is>
      </c>
      <c r="B132" s="11" t="inlineStr">
        <is>
          <t>Manual release activated</t>
        </is>
      </c>
      <c r="C132" s="11" t="inlineStr">
        <is>
          <t>Fire detection and suppression panel</t>
        </is>
      </c>
      <c r="D132" s="11" t="inlineStr">
        <is>
          <t>BESS and inverter transformer yard</t>
        </is>
      </c>
      <c r="E132" s="11" t="inlineStr">
        <is>
          <t>DI</t>
        </is>
      </c>
      <c r="F132" s="11" t="n">
        <v>5</v>
      </c>
      <c r="G132" s="11" t="inlineStr">
        <is>
          <t>R5-DI01</t>
        </is>
      </c>
      <c r="H132" s="11" t="inlineStr">
        <is>
          <t>DI-8112</t>
        </is>
      </c>
      <c r="I132" s="11" t="n">
        <v>13</v>
      </c>
      <c r="J132" s="11" t="inlineStr">
        <is>
          <t>Normally open</t>
        </is>
      </c>
      <c r="K132" s="11" t="inlineStr">
        <is>
          <t>1</t>
        </is>
      </c>
      <c r="L132" s="11" t="inlineStr">
        <is>
          <t>-</t>
        </is>
      </c>
      <c r="M132" s="11" t="inlineStr">
        <is>
          <t>Reset at panel only</t>
        </is>
      </c>
    </row>
    <row r="133" ht="25.5" customHeight="1">
      <c r="A133" s="11" t="inlineStr">
        <is>
          <t>FIRE-PSU-FLT</t>
        </is>
      </c>
      <c r="B133" s="11" t="inlineStr">
        <is>
          <t>Panel supply fault</t>
        </is>
      </c>
      <c r="C133" s="11" t="inlineStr">
        <is>
          <t>Fire detection and suppression panel</t>
        </is>
      </c>
      <c r="D133" s="11" t="inlineStr">
        <is>
          <t>BESS and inverter transformer yard</t>
        </is>
      </c>
      <c r="E133" s="11" t="inlineStr">
        <is>
          <t>DI</t>
        </is>
      </c>
      <c r="F133" s="11" t="n">
        <v>5</v>
      </c>
      <c r="G133" s="11" t="inlineStr">
        <is>
          <t>R5-DI01</t>
        </is>
      </c>
      <c r="H133" s="11" t="inlineStr">
        <is>
          <t>DI-8112</t>
        </is>
      </c>
      <c r="I133" s="11" t="n">
        <v>14</v>
      </c>
      <c r="J133" s="11" t="inlineStr">
        <is>
          <t>Normally open</t>
        </is>
      </c>
      <c r="K133" s="11" t="inlineStr">
        <is>
          <t>2</t>
        </is>
      </c>
      <c r="L133" s="11" t="inlineStr">
        <is>
          <t>-</t>
        </is>
      </c>
      <c r="M133" s="11" t="inlineStr">
        <is>
          <t>Reset at panel only</t>
        </is>
      </c>
    </row>
    <row r="134" ht="25.5" customHeight="1">
      <c r="A134" s="11" t="inlineStr">
        <is>
          <t>AUXLV-INC-CLSD</t>
        </is>
      </c>
      <c r="B134" s="11" t="inlineStr">
        <is>
          <t>Auxiliary LV incomer closed</t>
        </is>
      </c>
      <c r="C134" s="11" t="inlineStr">
        <is>
          <t>Auxiliary supplies and UPS</t>
        </is>
      </c>
      <c r="D134" s="11" t="inlineStr">
        <is>
          <t>11 kV switchroom</t>
        </is>
      </c>
      <c r="E134" s="11" t="inlineStr">
        <is>
          <t>DI</t>
        </is>
      </c>
      <c r="F134" s="11" t="n">
        <v>2</v>
      </c>
      <c r="G134" s="11" t="inlineStr">
        <is>
          <t>R2-DI01</t>
        </is>
      </c>
      <c r="H134" s="11" t="inlineStr">
        <is>
          <t>DI-8112</t>
        </is>
      </c>
      <c r="I134" s="11" t="n">
        <v>7</v>
      </c>
      <c r="J134" s="11" t="inlineStr">
        <is>
          <t>Status</t>
        </is>
      </c>
      <c r="K134" s="11" t="inlineStr">
        <is>
          <t>Status</t>
        </is>
      </c>
      <c r="L134" s="11" t="inlineStr">
        <is>
          <t>-</t>
        </is>
      </c>
      <c r="M134" s="11" t="n"/>
    </row>
    <row r="135" ht="25.5" customHeight="1">
      <c r="A135" s="11" t="inlineStr">
        <is>
          <t>AUXLV-INC-TRIP</t>
        </is>
      </c>
      <c r="B135" s="11" t="inlineStr">
        <is>
          <t>Auxiliary LV incomer tripped</t>
        </is>
      </c>
      <c r="C135" s="11" t="inlineStr">
        <is>
          <t>Auxiliary supplies and UPS</t>
        </is>
      </c>
      <c r="D135" s="11" t="inlineStr">
        <is>
          <t>11 kV switchroom</t>
        </is>
      </c>
      <c r="E135" s="11" t="inlineStr">
        <is>
          <t>DI</t>
        </is>
      </c>
      <c r="F135" s="11" t="n">
        <v>2</v>
      </c>
      <c r="G135" s="11" t="inlineStr">
        <is>
          <t>R2-DI01</t>
        </is>
      </c>
      <c r="H135" s="11" t="inlineStr">
        <is>
          <t>DI-8112</t>
        </is>
      </c>
      <c r="I135" s="11" t="n">
        <v>8</v>
      </c>
      <c r="J135" s="11" t="inlineStr">
        <is>
          <t>Normally open</t>
        </is>
      </c>
      <c r="K135" s="11" t="inlineStr">
        <is>
          <t>2</t>
        </is>
      </c>
      <c r="L135" s="11" t="inlineStr">
        <is>
          <t>-</t>
        </is>
      </c>
      <c r="M135" s="11" t="n"/>
    </row>
    <row r="136" ht="25.5" customHeight="1">
      <c r="A136" s="11" t="inlineStr">
        <is>
          <t>AUXLV-SPD-FLT</t>
        </is>
      </c>
      <c r="B136" s="11" t="inlineStr">
        <is>
          <t>Surge arrester failed</t>
        </is>
      </c>
      <c r="C136" s="11" t="inlineStr">
        <is>
          <t>Auxiliary supplies and UPS</t>
        </is>
      </c>
      <c r="D136" s="11" t="inlineStr">
        <is>
          <t>11 kV switchroom</t>
        </is>
      </c>
      <c r="E136" s="11" t="inlineStr">
        <is>
          <t>DI</t>
        </is>
      </c>
      <c r="F136" s="11" t="n">
        <v>2</v>
      </c>
      <c r="G136" s="11" t="inlineStr">
        <is>
          <t>R2-DI01</t>
        </is>
      </c>
      <c r="H136" s="11" t="inlineStr">
        <is>
          <t>DI-8112</t>
        </is>
      </c>
      <c r="I136" s="11" t="n">
        <v>9</v>
      </c>
      <c r="J136" s="11" t="inlineStr">
        <is>
          <t>Normally open</t>
        </is>
      </c>
      <c r="K136" s="11" t="inlineStr">
        <is>
          <t>3</t>
        </is>
      </c>
      <c r="L136" s="11" t="inlineStr">
        <is>
          <t>-</t>
        </is>
      </c>
      <c r="M136" s="11" t="n"/>
    </row>
    <row r="137" ht="25.5" customHeight="1">
      <c r="A137" s="11" t="inlineStr">
        <is>
          <t>UPS-ON-BATT</t>
        </is>
      </c>
      <c r="B137" s="11" t="inlineStr">
        <is>
          <t>UPS on battery</t>
        </is>
      </c>
      <c r="C137" s="11" t="inlineStr">
        <is>
          <t>Auxiliary supplies and UPS</t>
        </is>
      </c>
      <c r="D137" s="11" t="inlineStr">
        <is>
          <t>11 kV switchroom</t>
        </is>
      </c>
      <c r="E137" s="11" t="inlineStr">
        <is>
          <t>DI</t>
        </is>
      </c>
      <c r="F137" s="11" t="n">
        <v>2</v>
      </c>
      <c r="G137" s="11" t="inlineStr">
        <is>
          <t>R2-DI01</t>
        </is>
      </c>
      <c r="H137" s="11" t="inlineStr">
        <is>
          <t>DI-8112</t>
        </is>
      </c>
      <c r="I137" s="11" t="n">
        <v>10</v>
      </c>
      <c r="J137" s="11" t="inlineStr">
        <is>
          <t>Normally open</t>
        </is>
      </c>
      <c r="K137" s="11" t="inlineStr">
        <is>
          <t>2</t>
        </is>
      </c>
      <c r="L137" s="11" t="inlineStr">
        <is>
          <t>-</t>
        </is>
      </c>
      <c r="M137" s="11" t="n"/>
    </row>
    <row r="138" ht="25.5" customHeight="1">
      <c r="A138" s="11" t="inlineStr">
        <is>
          <t>UPS-BATT-LOW</t>
        </is>
      </c>
      <c r="B138" s="11" t="inlineStr">
        <is>
          <t>UPS battery low</t>
        </is>
      </c>
      <c r="C138" s="11" t="inlineStr">
        <is>
          <t>Auxiliary supplies and UPS</t>
        </is>
      </c>
      <c r="D138" s="11" t="inlineStr">
        <is>
          <t>11 kV switchroom</t>
        </is>
      </c>
      <c r="E138" s="11" t="inlineStr">
        <is>
          <t>DI</t>
        </is>
      </c>
      <c r="F138" s="11" t="n">
        <v>2</v>
      </c>
      <c r="G138" s="11" t="inlineStr">
        <is>
          <t>R2-DI01</t>
        </is>
      </c>
      <c r="H138" s="11" t="inlineStr">
        <is>
          <t>DI-8112</t>
        </is>
      </c>
      <c r="I138" s="11" t="n">
        <v>11</v>
      </c>
      <c r="J138" s="11" t="inlineStr">
        <is>
          <t>Normally open</t>
        </is>
      </c>
      <c r="K138" s="11" t="inlineStr">
        <is>
          <t>1</t>
        </is>
      </c>
      <c r="L138" s="11" t="inlineStr">
        <is>
          <t>-</t>
        </is>
      </c>
      <c r="M138" s="11" t="n"/>
    </row>
    <row r="139" ht="25.5" customHeight="1">
      <c r="A139" s="11" t="inlineStr">
        <is>
          <t>UPS-FLT</t>
        </is>
      </c>
      <c r="B139" s="11" t="inlineStr">
        <is>
          <t>UPS fault</t>
        </is>
      </c>
      <c r="C139" s="11" t="inlineStr">
        <is>
          <t>Auxiliary supplies and UPS</t>
        </is>
      </c>
      <c r="D139" s="11" t="inlineStr">
        <is>
          <t>11 kV switchroom</t>
        </is>
      </c>
      <c r="E139" s="11" t="inlineStr">
        <is>
          <t>DI</t>
        </is>
      </c>
      <c r="F139" s="11" t="n">
        <v>2</v>
      </c>
      <c r="G139" s="11" t="inlineStr">
        <is>
          <t>R2-DI01</t>
        </is>
      </c>
      <c r="H139" s="11" t="inlineStr">
        <is>
          <t>DI-8112</t>
        </is>
      </c>
      <c r="I139" s="11" t="n">
        <v>12</v>
      </c>
      <c r="J139" s="11" t="inlineStr">
        <is>
          <t>Normally open</t>
        </is>
      </c>
      <c r="K139" s="11" t="inlineStr">
        <is>
          <t>2</t>
        </is>
      </c>
      <c r="L139" s="11" t="inlineStr">
        <is>
          <t>-</t>
        </is>
      </c>
      <c r="M139" s="11" t="n"/>
    </row>
    <row r="140" ht="25.5" customHeight="1">
      <c r="A140" s="11" t="inlineStr">
        <is>
          <t>UPS-BYPASS</t>
        </is>
      </c>
      <c r="B140" s="11" t="inlineStr">
        <is>
          <t>UPS on bypass</t>
        </is>
      </c>
      <c r="C140" s="11" t="inlineStr">
        <is>
          <t>Auxiliary supplies and UPS</t>
        </is>
      </c>
      <c r="D140" s="11" t="inlineStr">
        <is>
          <t>11 kV switchroom</t>
        </is>
      </c>
      <c r="E140" s="11" t="inlineStr">
        <is>
          <t>DI</t>
        </is>
      </c>
      <c r="F140" s="11" t="n">
        <v>2</v>
      </c>
      <c r="G140" s="11" t="inlineStr">
        <is>
          <t>R2-DI01</t>
        </is>
      </c>
      <c r="H140" s="11" t="inlineStr">
        <is>
          <t>DI-8112</t>
        </is>
      </c>
      <c r="I140" s="11" t="n">
        <v>13</v>
      </c>
      <c r="J140" s="11" t="inlineStr">
        <is>
          <t>Normally open</t>
        </is>
      </c>
      <c r="K140" s="11" t="inlineStr">
        <is>
          <t>3</t>
        </is>
      </c>
      <c r="L140" s="11" t="inlineStr">
        <is>
          <t>-</t>
        </is>
      </c>
      <c r="M140" s="11" t="n"/>
    </row>
    <row r="141" ht="25.5" customHeight="1">
      <c r="A141" s="11" t="inlineStr">
        <is>
          <t>DC-CHG-FLT</t>
        </is>
      </c>
      <c r="B141" s="11" t="inlineStr">
        <is>
          <t>DC charger fault</t>
        </is>
      </c>
      <c r="C141" s="11" t="inlineStr">
        <is>
          <t>Auxiliary supplies and UPS</t>
        </is>
      </c>
      <c r="D141" s="11" t="inlineStr">
        <is>
          <t>11 kV switchroom</t>
        </is>
      </c>
      <c r="E141" s="11" t="inlineStr">
        <is>
          <t>DI</t>
        </is>
      </c>
      <c r="F141" s="11" t="n">
        <v>2</v>
      </c>
      <c r="G141" s="11" t="inlineStr">
        <is>
          <t>R2-DI01</t>
        </is>
      </c>
      <c r="H141" s="11" t="inlineStr">
        <is>
          <t>DI-8112</t>
        </is>
      </c>
      <c r="I141" s="11" t="n">
        <v>14</v>
      </c>
      <c r="J141" s="11" t="inlineStr">
        <is>
          <t>Normally open</t>
        </is>
      </c>
      <c r="K141" s="11" t="inlineStr">
        <is>
          <t>2</t>
        </is>
      </c>
      <c r="L141" s="11" t="inlineStr">
        <is>
          <t>-</t>
        </is>
      </c>
      <c r="M141" s="11" t="n"/>
    </row>
    <row r="142" ht="25.5" customHeight="1">
      <c r="A142" s="11" t="inlineStr">
        <is>
          <t>DC-EARTH-FLT</t>
        </is>
      </c>
      <c r="B142" s="11" t="inlineStr">
        <is>
          <t>DC earth fault</t>
        </is>
      </c>
      <c r="C142" s="11" t="inlineStr">
        <is>
          <t>Auxiliary supplies and UPS</t>
        </is>
      </c>
      <c r="D142" s="11" t="inlineStr">
        <is>
          <t>11 kV switchroom</t>
        </is>
      </c>
      <c r="E142" s="11" t="inlineStr">
        <is>
          <t>DI</t>
        </is>
      </c>
      <c r="F142" s="11" t="n">
        <v>2</v>
      </c>
      <c r="G142" s="11" t="inlineStr">
        <is>
          <t>R2-DI01</t>
        </is>
      </c>
      <c r="H142" s="11" t="inlineStr">
        <is>
          <t>DI-8112</t>
        </is>
      </c>
      <c r="I142" s="11" t="n">
        <v>15</v>
      </c>
      <c r="J142" s="11" t="inlineStr">
        <is>
          <t>Normally open</t>
        </is>
      </c>
      <c r="K142" s="11" t="inlineStr">
        <is>
          <t>2</t>
        </is>
      </c>
      <c r="L142" s="11" t="inlineStr">
        <is>
          <t>-</t>
        </is>
      </c>
      <c r="M142" s="11" t="n"/>
    </row>
    <row r="143" ht="25.5" customHeight="1">
      <c r="A143" s="11" t="inlineStr">
        <is>
          <t>DC-UV</t>
        </is>
      </c>
      <c r="B143" s="11" t="inlineStr">
        <is>
          <t>DC bus undervoltage</t>
        </is>
      </c>
      <c r="C143" s="11" t="inlineStr">
        <is>
          <t>Auxiliary supplies and UPS</t>
        </is>
      </c>
      <c r="D143" s="11" t="inlineStr">
        <is>
          <t>11 kV switchroom</t>
        </is>
      </c>
      <c r="E143" s="11" t="inlineStr">
        <is>
          <t>DI</t>
        </is>
      </c>
      <c r="F143" s="11" t="n">
        <v>2</v>
      </c>
      <c r="G143" s="11" t="inlineStr">
        <is>
          <t>R2-DI01</t>
        </is>
      </c>
      <c r="H143" s="11" t="inlineStr">
        <is>
          <t>DI-8112</t>
        </is>
      </c>
      <c r="I143" s="11" t="n">
        <v>16</v>
      </c>
      <c r="J143" s="11" t="inlineStr">
        <is>
          <t>Normally open</t>
        </is>
      </c>
      <c r="K143" s="11" t="inlineStr">
        <is>
          <t>1</t>
        </is>
      </c>
      <c r="L143" s="11" t="inlineStr">
        <is>
          <t>-</t>
        </is>
      </c>
      <c r="M143" s="11" t="n"/>
    </row>
    <row r="144">
      <c r="A144" s="11" t="inlineStr">
        <is>
          <t>SWR-HVAC-FLT</t>
        </is>
      </c>
      <c r="B144" s="11" t="inlineStr">
        <is>
          <t>Switchroom air conditioning fault</t>
        </is>
      </c>
      <c r="C144" s="11" t="inlineStr">
        <is>
          <t>Auxiliary supplies and UPS</t>
        </is>
      </c>
      <c r="D144" s="11" t="inlineStr">
        <is>
          <t>11 kV switchroom</t>
        </is>
      </c>
      <c r="E144" s="11" t="inlineStr">
        <is>
          <t>DI</t>
        </is>
      </c>
      <c r="F144" s="11" t="n">
        <v>2</v>
      </c>
      <c r="G144" s="11" t="inlineStr">
        <is>
          <t>R2-DI02</t>
        </is>
      </c>
      <c r="H144" s="11" t="inlineStr">
        <is>
          <t>DI-8112</t>
        </is>
      </c>
      <c r="I144" s="11" t="n">
        <v>1</v>
      </c>
      <c r="J144" s="11" t="inlineStr">
        <is>
          <t>Normally open</t>
        </is>
      </c>
      <c r="K144" s="11" t="inlineStr">
        <is>
          <t>3</t>
        </is>
      </c>
      <c r="L144" s="11" t="inlineStr">
        <is>
          <t>-</t>
        </is>
      </c>
      <c r="M144" s="11" t="n"/>
    </row>
    <row r="145">
      <c r="A145" s="11" t="inlineStr">
        <is>
          <t>SWR-TEMP-HI</t>
        </is>
      </c>
      <c r="B145" s="11" t="inlineStr">
        <is>
          <t>Switchroom temperature high</t>
        </is>
      </c>
      <c r="C145" s="11" t="inlineStr">
        <is>
          <t>Auxiliary supplies and UPS</t>
        </is>
      </c>
      <c r="D145" s="11" t="inlineStr">
        <is>
          <t>11 kV switchroom</t>
        </is>
      </c>
      <c r="E145" s="11" t="inlineStr">
        <is>
          <t>DI</t>
        </is>
      </c>
      <c r="F145" s="11" t="n">
        <v>2</v>
      </c>
      <c r="G145" s="11" t="inlineStr">
        <is>
          <t>R2-DI02</t>
        </is>
      </c>
      <c r="H145" s="11" t="inlineStr">
        <is>
          <t>DI-8112</t>
        </is>
      </c>
      <c r="I145" s="11" t="n">
        <v>2</v>
      </c>
      <c r="J145" s="11" t="inlineStr">
        <is>
          <t>Normally open</t>
        </is>
      </c>
      <c r="K145" s="11" t="inlineStr">
        <is>
          <t>3</t>
        </is>
      </c>
      <c r="L145" s="11" t="inlineStr">
        <is>
          <t>-</t>
        </is>
      </c>
      <c r="M145" s="11" t="n"/>
    </row>
    <row r="146">
      <c r="A146" s="11" t="inlineStr">
        <is>
          <t>ESTOP-SWR</t>
        </is>
      </c>
      <c r="B146" s="11" t="inlineStr">
        <is>
          <t>Plant emergency stop pressed, switchroom</t>
        </is>
      </c>
      <c r="C146" s="11" t="inlineStr">
        <is>
          <t>Emergency stops, doors and I/O panels</t>
        </is>
      </c>
      <c r="D146" s="11" t="inlineStr">
        <is>
          <t>11 kV switchroom</t>
        </is>
      </c>
      <c r="E146" s="11" t="inlineStr">
        <is>
          <t>DI</t>
        </is>
      </c>
      <c r="F146" s="11" t="n">
        <v>2</v>
      </c>
      <c r="G146" s="11" t="inlineStr">
        <is>
          <t>R2-DI02</t>
        </is>
      </c>
      <c r="H146" s="11" t="inlineStr">
        <is>
          <t>DI-8112</t>
        </is>
      </c>
      <c r="I146" s="11" t="n">
        <v>3</v>
      </c>
      <c r="J146" s="11" t="inlineStr">
        <is>
          <t>Normally open</t>
        </is>
      </c>
      <c r="K146" s="11" t="inlineStr">
        <is>
          <t>1</t>
        </is>
      </c>
      <c r="L146" s="11" t="inlineStr">
        <is>
          <t>-</t>
        </is>
      </c>
      <c r="M146" s="11" t="n"/>
    </row>
    <row r="147">
      <c r="A147" s="11" t="inlineStr">
        <is>
          <t>DOOR-SCADA</t>
        </is>
      </c>
      <c r="B147" s="11" t="inlineStr">
        <is>
          <t>SCADA cabinet door open</t>
        </is>
      </c>
      <c r="C147" s="11" t="inlineStr">
        <is>
          <t>Emergency stops, doors and I/O panels</t>
        </is>
      </c>
      <c r="D147" s="11" t="inlineStr">
        <is>
          <t>11 kV switchroom</t>
        </is>
      </c>
      <c r="E147" s="11" t="inlineStr">
        <is>
          <t>DI</t>
        </is>
      </c>
      <c r="F147" s="11" t="n">
        <v>2</v>
      </c>
      <c r="G147" s="11" t="inlineStr">
        <is>
          <t>R2-DI02</t>
        </is>
      </c>
      <c r="H147" s="11" t="inlineStr">
        <is>
          <t>DI-8112</t>
        </is>
      </c>
      <c r="I147" s="11" t="n">
        <v>4</v>
      </c>
      <c r="J147" s="11" t="inlineStr">
        <is>
          <t>Normally open</t>
        </is>
      </c>
      <c r="K147" s="11" t="inlineStr">
        <is>
          <t>3</t>
        </is>
      </c>
      <c r="L147" s="11" t="inlineStr">
        <is>
          <t>-</t>
        </is>
      </c>
      <c r="M147" s="11" t="n"/>
    </row>
    <row r="148">
      <c r="A148" s="11" t="inlineStr">
        <is>
          <t>DOOR-SWR</t>
        </is>
      </c>
      <c r="B148" s="11" t="inlineStr">
        <is>
          <t>Switchroom door open</t>
        </is>
      </c>
      <c r="C148" s="11" t="inlineStr">
        <is>
          <t>Emergency stops, doors and I/O panels</t>
        </is>
      </c>
      <c r="D148" s="11" t="inlineStr">
        <is>
          <t>11 kV switchroom</t>
        </is>
      </c>
      <c r="E148" s="11" t="inlineStr">
        <is>
          <t>DI</t>
        </is>
      </c>
      <c r="F148" s="11" t="n">
        <v>2</v>
      </c>
      <c r="G148" s="11" t="inlineStr">
        <is>
          <t>R2-DI02</t>
        </is>
      </c>
      <c r="H148" s="11" t="inlineStr">
        <is>
          <t>DI-8112</t>
        </is>
      </c>
      <c r="I148" s="11" t="n">
        <v>5</v>
      </c>
      <c r="J148" s="11" t="inlineStr">
        <is>
          <t>Normally open</t>
        </is>
      </c>
      <c r="K148" s="11" t="inlineStr">
        <is>
          <t>3</t>
        </is>
      </c>
      <c r="L148" s="11" t="inlineStr">
        <is>
          <t>-</t>
        </is>
      </c>
      <c r="M148" s="11" t="n"/>
    </row>
    <row r="149">
      <c r="A149" s="11" t="inlineStr">
        <is>
          <t>DOOR-GIS</t>
        </is>
      </c>
      <c r="B149" s="11" t="inlineStr">
        <is>
          <t>11 kV switchgear room door open</t>
        </is>
      </c>
      <c r="C149" s="11" t="inlineStr">
        <is>
          <t>Emergency stops, doors and I/O panels</t>
        </is>
      </c>
      <c r="D149" s="11" t="inlineStr">
        <is>
          <t>11 kV switchroom</t>
        </is>
      </c>
      <c r="E149" s="11" t="inlineStr">
        <is>
          <t>DI</t>
        </is>
      </c>
      <c r="F149" s="11" t="n">
        <v>2</v>
      </c>
      <c r="G149" s="11" t="inlineStr">
        <is>
          <t>R2-DI02</t>
        </is>
      </c>
      <c r="H149" s="11" t="inlineStr">
        <is>
          <t>DI-8112</t>
        </is>
      </c>
      <c r="I149" s="11" t="n">
        <v>6</v>
      </c>
      <c r="J149" s="11" t="inlineStr">
        <is>
          <t>Normally open</t>
        </is>
      </c>
      <c r="K149" s="11" t="inlineStr">
        <is>
          <t>3</t>
        </is>
      </c>
      <c r="L149" s="11" t="inlineStr">
        <is>
          <t>-</t>
        </is>
      </c>
      <c r="M149" s="11" t="n"/>
    </row>
    <row r="150">
      <c r="A150" s="11" t="inlineStr">
        <is>
          <t>ESTOP-BESS</t>
        </is>
      </c>
      <c r="B150" s="11" t="inlineStr">
        <is>
          <t>Plant emergency stop pressed, BESS area</t>
        </is>
      </c>
      <c r="C150" s="11" t="inlineStr">
        <is>
          <t>Emergency stops, doors and I/O panels</t>
        </is>
      </c>
      <c r="D150" s="11" t="inlineStr">
        <is>
          <t>BESS and inverter transformer yard</t>
        </is>
      </c>
      <c r="E150" s="11" t="inlineStr">
        <is>
          <t>DI</t>
        </is>
      </c>
      <c r="F150" s="11" t="n">
        <v>5</v>
      </c>
      <c r="G150" s="11" t="inlineStr">
        <is>
          <t>R5-DI01</t>
        </is>
      </c>
      <c r="H150" s="11" t="inlineStr">
        <is>
          <t>DI-8112</t>
        </is>
      </c>
      <c r="I150" s="11" t="n">
        <v>15</v>
      </c>
      <c r="J150" s="11" t="inlineStr">
        <is>
          <t>Normally open</t>
        </is>
      </c>
      <c r="K150" s="11" t="inlineStr">
        <is>
          <t>1</t>
        </is>
      </c>
      <c r="L150" s="11" t="inlineStr">
        <is>
          <t>-</t>
        </is>
      </c>
      <c r="M150" s="11" t="n"/>
    </row>
    <row r="151">
      <c r="A151" s="11" t="inlineStr">
        <is>
          <t>DOOR-BESS</t>
        </is>
      </c>
      <c r="B151" s="11" t="inlineStr">
        <is>
          <t>BESS container door open</t>
        </is>
      </c>
      <c r="C151" s="11" t="inlineStr">
        <is>
          <t>Emergency stops, doors and I/O panels</t>
        </is>
      </c>
      <c r="D151" s="11" t="inlineStr">
        <is>
          <t>BESS and inverter transformer yard</t>
        </is>
      </c>
      <c r="E151" s="11" t="inlineStr">
        <is>
          <t>DI</t>
        </is>
      </c>
      <c r="F151" s="11" t="n">
        <v>5</v>
      </c>
      <c r="G151" s="11" t="inlineStr">
        <is>
          <t>R5-DI01</t>
        </is>
      </c>
      <c r="H151" s="11" t="inlineStr">
        <is>
          <t>DI-8112</t>
        </is>
      </c>
      <c r="I151" s="11" t="n">
        <v>16</v>
      </c>
      <c r="J151" s="11" t="inlineStr">
        <is>
          <t>Normally open</t>
        </is>
      </c>
      <c r="K151" s="11" t="inlineStr">
        <is>
          <t>3</t>
        </is>
      </c>
      <c r="L151" s="11" t="inlineStr">
        <is>
          <t>-</t>
        </is>
      </c>
      <c r="M151" s="11" t="n"/>
    </row>
    <row r="152">
      <c r="A152" s="11" t="inlineStr">
        <is>
          <t>YARD-PNL-SUP-OK</t>
        </is>
      </c>
      <c r="B152" s="11" t="inlineStr">
        <is>
          <t>Yard I/O panel supply healthy</t>
        </is>
      </c>
      <c r="C152" s="11" t="inlineStr">
        <is>
          <t>Emergency stops, doors and I/O panels</t>
        </is>
      </c>
      <c r="D152" s="11" t="inlineStr">
        <is>
          <t>BESS and inverter transformer yard</t>
        </is>
      </c>
      <c r="E152" s="11" t="inlineStr">
        <is>
          <t>DI</t>
        </is>
      </c>
      <c r="F152" s="11" t="n">
        <v>5</v>
      </c>
      <c r="G152" s="11" t="inlineStr">
        <is>
          <t>R5-DI02</t>
        </is>
      </c>
      <c r="H152" s="11" t="inlineStr">
        <is>
          <t>DI-8112</t>
        </is>
      </c>
      <c r="I152" s="11" t="n">
        <v>1</v>
      </c>
      <c r="J152" s="11" t="inlineStr">
        <is>
          <t>Normally closed</t>
        </is>
      </c>
      <c r="K152" s="11" t="inlineStr">
        <is>
          <t>2</t>
        </is>
      </c>
      <c r="L152" s="11" t="inlineStr">
        <is>
          <t>-</t>
        </is>
      </c>
      <c r="M152" s="11" t="n"/>
    </row>
    <row r="153">
      <c r="A153" s="11" t="inlineStr">
        <is>
          <t>YARD-PNL-DOOR</t>
        </is>
      </c>
      <c r="B153" s="11" t="inlineStr">
        <is>
          <t>Yard I/O panel door open</t>
        </is>
      </c>
      <c r="C153" s="11" t="inlineStr">
        <is>
          <t>Emergency stops, doors and I/O panels</t>
        </is>
      </c>
      <c r="D153" s="11" t="inlineStr">
        <is>
          <t>BESS and inverter transformer yard</t>
        </is>
      </c>
      <c r="E153" s="11" t="inlineStr">
        <is>
          <t>DI</t>
        </is>
      </c>
      <c r="F153" s="11" t="n">
        <v>5</v>
      </c>
      <c r="G153" s="11" t="inlineStr">
        <is>
          <t>R5-DI02</t>
        </is>
      </c>
      <c r="H153" s="11" t="inlineStr">
        <is>
          <t>DI-8112</t>
        </is>
      </c>
      <c r="I153" s="11" t="n">
        <v>2</v>
      </c>
      <c r="J153" s="11" t="inlineStr">
        <is>
          <t>Normally open</t>
        </is>
      </c>
      <c r="K153" s="11" t="inlineStr">
        <is>
          <t>3</t>
        </is>
      </c>
      <c r="L153" s="11" t="inlineStr">
        <is>
          <t>-</t>
        </is>
      </c>
      <c r="M153" s="11" t="n"/>
    </row>
    <row r="154">
      <c r="A154" s="11" t="inlineStr">
        <is>
          <t>GEN-PNL-SUP-OK</t>
        </is>
      </c>
      <c r="B154" s="11" t="inlineStr">
        <is>
          <t>Generator I/O panel supply healthy</t>
        </is>
      </c>
      <c r="C154" s="11" t="inlineStr">
        <is>
          <t>Emergency stops, doors and I/O panels</t>
        </is>
      </c>
      <c r="D154" s="11" t="inlineStr">
        <is>
          <t>Generator area</t>
        </is>
      </c>
      <c r="E154" s="11" t="inlineStr">
        <is>
          <t>DI</t>
        </is>
      </c>
      <c r="F154" s="11" t="n">
        <v>6</v>
      </c>
      <c r="G154" s="11" t="inlineStr">
        <is>
          <t>R6-DI01</t>
        </is>
      </c>
      <c r="H154" s="11" t="inlineStr">
        <is>
          <t>DI-8112</t>
        </is>
      </c>
      <c r="I154" s="11" t="n">
        <v>15</v>
      </c>
      <c r="J154" s="11" t="inlineStr">
        <is>
          <t>Normally closed</t>
        </is>
      </c>
      <c r="K154" s="11" t="inlineStr">
        <is>
          <t>2</t>
        </is>
      </c>
      <c r="L154" s="11" t="inlineStr">
        <is>
          <t>-</t>
        </is>
      </c>
      <c r="M154" s="11" t="n"/>
    </row>
    <row r="155">
      <c r="A155" s="11" t="inlineStr">
        <is>
          <t>GEN-PNL-DOOR</t>
        </is>
      </c>
      <c r="B155" s="11" t="inlineStr">
        <is>
          <t>Generator I/O panel door open</t>
        </is>
      </c>
      <c r="C155" s="11" t="inlineStr">
        <is>
          <t>Emergency stops, doors and I/O panels</t>
        </is>
      </c>
      <c r="D155" s="11" t="inlineStr">
        <is>
          <t>Generator area</t>
        </is>
      </c>
      <c r="E155" s="11" t="inlineStr">
        <is>
          <t>DI</t>
        </is>
      </c>
      <c r="F155" s="11" t="n">
        <v>6</v>
      </c>
      <c r="G155" s="11" t="inlineStr">
        <is>
          <t>R6-DI01</t>
        </is>
      </c>
      <c r="H155" s="11" t="inlineStr">
        <is>
          <t>DI-8112</t>
        </is>
      </c>
      <c r="I155" s="11" t="n">
        <v>16</v>
      </c>
      <c r="J155" s="11" t="inlineStr">
        <is>
          <t>Normally open</t>
        </is>
      </c>
      <c r="K155" s="11" t="inlineStr">
        <is>
          <t>3</t>
        </is>
      </c>
      <c r="L155" s="11" t="inlineStr">
        <is>
          <t>-</t>
        </is>
      </c>
      <c r="M155" s="11" t="n"/>
    </row>
    <row r="156">
      <c r="A156" s="11" t="inlineStr">
        <is>
          <t>DG1-FUEL</t>
        </is>
      </c>
      <c r="B156" s="11" t="inlineStr">
        <is>
          <t>Fuel tank level</t>
        </is>
      </c>
      <c r="C156" s="11" t="inlineStr">
        <is>
          <t>Diesel generator DG1</t>
        </is>
      </c>
      <c r="D156" s="11" t="inlineStr">
        <is>
          <t>Generator area</t>
        </is>
      </c>
      <c r="E156" s="11" t="inlineStr">
        <is>
          <t>AI</t>
        </is>
      </c>
      <c r="F156" s="11" t="n">
        <v>6</v>
      </c>
      <c r="G156" s="11" t="inlineStr">
        <is>
          <t>R6-AI01</t>
        </is>
      </c>
      <c r="H156" s="11" t="inlineStr">
        <is>
          <t>AI-8320</t>
        </is>
      </c>
      <c r="I156" s="11" t="n">
        <v>1</v>
      </c>
      <c r="J156" s="11" t="inlineStr">
        <is>
          <t>4-20 mA = 0-100 %</t>
        </is>
      </c>
      <c r="K156" s="11" t="inlineStr">
        <is>
          <t>3 below 20 %</t>
        </is>
      </c>
      <c r="L156" s="11" t="inlineStr">
        <is>
          <t>-</t>
        </is>
      </c>
      <c r="M156" s="11" t="n"/>
    </row>
    <row r="157" ht="25.5" customHeight="1">
      <c r="A157" s="11" t="inlineStr">
        <is>
          <t>DG2-FUEL</t>
        </is>
      </c>
      <c r="B157" s="11" t="inlineStr">
        <is>
          <t>Fuel tank level</t>
        </is>
      </c>
      <c r="C157" s="11" t="inlineStr">
        <is>
          <t>Diesel generator DG2</t>
        </is>
      </c>
      <c r="D157" s="11" t="inlineStr">
        <is>
          <t>Generator area</t>
        </is>
      </c>
      <c r="E157" s="11" t="inlineStr">
        <is>
          <t>AI</t>
        </is>
      </c>
      <c r="F157" s="11" t="n">
        <v>6</v>
      </c>
      <c r="G157" s="11" t="inlineStr">
        <is>
          <t>R6-AI01</t>
        </is>
      </c>
      <c r="H157" s="11" t="inlineStr">
        <is>
          <t>AI-8320</t>
        </is>
      </c>
      <c r="I157" s="11" t="n">
        <v>2</v>
      </c>
      <c r="J157" s="11" t="inlineStr">
        <is>
          <t>4-20 mA = 0-100 %</t>
        </is>
      </c>
      <c r="K157" s="11" t="inlineStr">
        <is>
          <t>3 below 20 %</t>
        </is>
      </c>
      <c r="L157" s="11" t="inlineStr">
        <is>
          <t>-</t>
        </is>
      </c>
      <c r="M157" s="11" t="n"/>
    </row>
    <row r="158" ht="25.5" customHeight="1">
      <c r="A158" s="11" t="inlineStr">
        <is>
          <t>DC-110-V</t>
        </is>
      </c>
      <c r="B158" s="11" t="inlineStr">
        <is>
          <t>110 V DC bus voltage</t>
        </is>
      </c>
      <c r="C158" s="11" t="inlineStr">
        <is>
          <t>Auxiliary supplies and UPS</t>
        </is>
      </c>
      <c r="D158" s="11" t="inlineStr">
        <is>
          <t>11 kV switchroom</t>
        </is>
      </c>
      <c r="E158" s="11" t="inlineStr">
        <is>
          <t>AI</t>
        </is>
      </c>
      <c r="F158" s="11" t="n">
        <v>2</v>
      </c>
      <c r="G158" s="11" t="inlineStr">
        <is>
          <t>R2-AI01</t>
        </is>
      </c>
      <c r="H158" s="11" t="inlineStr">
        <is>
          <t>AI-8320</t>
        </is>
      </c>
      <c r="I158" s="11" t="n">
        <v>1</v>
      </c>
      <c r="J158" s="11" t="inlineStr">
        <is>
          <t>4-20 mA = 0-150 V</t>
        </is>
      </c>
      <c r="K158" s="11" t="inlineStr">
        <is>
          <t>2 outside limits</t>
        </is>
      </c>
      <c r="L158" s="11" t="inlineStr">
        <is>
          <t>-</t>
        </is>
      </c>
      <c r="M158" s="11" t="n"/>
    </row>
    <row r="159" ht="25.5" customHeight="1">
      <c r="A159" s="11" t="inlineStr">
        <is>
          <t>DC-24-V</t>
        </is>
      </c>
      <c r="B159" s="11" t="inlineStr">
        <is>
          <t>24 V DC bus voltage</t>
        </is>
      </c>
      <c r="C159" s="11" t="inlineStr">
        <is>
          <t>Auxiliary supplies and UPS</t>
        </is>
      </c>
      <c r="D159" s="11" t="inlineStr">
        <is>
          <t>11 kV switchroom</t>
        </is>
      </c>
      <c r="E159" s="11" t="inlineStr">
        <is>
          <t>AI</t>
        </is>
      </c>
      <c r="F159" s="11" t="n">
        <v>2</v>
      </c>
      <c r="G159" s="11" t="inlineStr">
        <is>
          <t>R2-AI01</t>
        </is>
      </c>
      <c r="H159" s="11" t="inlineStr">
        <is>
          <t>AI-8320</t>
        </is>
      </c>
      <c r="I159" s="11" t="n">
        <v>2</v>
      </c>
      <c r="J159" s="11" t="inlineStr">
        <is>
          <t>4-20 mA = 0-36 V</t>
        </is>
      </c>
      <c r="K159" s="11" t="inlineStr">
        <is>
          <t>2 outside limits</t>
        </is>
      </c>
      <c r="L159" s="11" t="inlineStr">
        <is>
          <t>-</t>
        </is>
      </c>
      <c r="M159" s="11" t="n"/>
    </row>
    <row r="160" ht="25.5" customHeight="1">
      <c r="A160" s="11" t="inlineStr">
        <is>
          <t>PRS-RS1-OPEN</t>
        </is>
      </c>
      <c r="B160" s="11" t="inlineStr">
        <is>
          <t>Ring switch 1 open</t>
        </is>
      </c>
      <c r="C160" s="11" t="inlineStr">
        <is>
          <t>President station RMU</t>
        </is>
      </c>
      <c r="D160" s="11" t="inlineStr">
        <is>
          <t>President station</t>
        </is>
      </c>
      <c r="E160" s="11" t="inlineStr">
        <is>
          <t>DI</t>
        </is>
      </c>
      <c r="F160" s="11" t="n">
        <v>3</v>
      </c>
      <c r="G160" s="11" t="inlineStr">
        <is>
          <t>R3-DI01</t>
        </is>
      </c>
      <c r="H160" s="11" t="inlineStr">
        <is>
          <t>DI-8112</t>
        </is>
      </c>
      <c r="I160" s="11" t="n">
        <v>1</v>
      </c>
      <c r="J160" s="11" t="inlineStr">
        <is>
          <t>Status</t>
        </is>
      </c>
      <c r="K160" s="11" t="inlineStr">
        <is>
          <t>Status</t>
        </is>
      </c>
      <c r="L160" s="11" t="inlineStr">
        <is>
          <t>-</t>
        </is>
      </c>
      <c r="M160" s="11" t="n"/>
    </row>
    <row r="161" ht="25.5" customHeight="1">
      <c r="A161" s="11" t="inlineStr">
        <is>
          <t>PRS-RS1-CLSD</t>
        </is>
      </c>
      <c r="B161" s="11" t="inlineStr">
        <is>
          <t>Ring switch 1 closed</t>
        </is>
      </c>
      <c r="C161" s="11" t="inlineStr">
        <is>
          <t>President station RMU</t>
        </is>
      </c>
      <c r="D161" s="11" t="inlineStr">
        <is>
          <t>President station</t>
        </is>
      </c>
      <c r="E161" s="11" t="inlineStr">
        <is>
          <t>DI</t>
        </is>
      </c>
      <c r="F161" s="11" t="n">
        <v>3</v>
      </c>
      <c r="G161" s="11" t="inlineStr">
        <is>
          <t>R3-DI01</t>
        </is>
      </c>
      <c r="H161" s="11" t="inlineStr">
        <is>
          <t>DI-8112</t>
        </is>
      </c>
      <c r="I161" s="11" t="n">
        <v>2</v>
      </c>
      <c r="J161" s="11" t="inlineStr">
        <is>
          <t>Status</t>
        </is>
      </c>
      <c r="K161" s="11" t="inlineStr">
        <is>
          <t>Status</t>
        </is>
      </c>
      <c r="L161" s="11" t="inlineStr">
        <is>
          <t>-</t>
        </is>
      </c>
      <c r="M161" s="11" t="n"/>
    </row>
    <row r="162" ht="25.5" customHeight="1">
      <c r="A162" s="11" t="inlineStr">
        <is>
          <t>PRS-RS1-ES</t>
        </is>
      </c>
      <c r="B162" s="11" t="inlineStr">
        <is>
          <t>Ring switch 1 earth switch closed</t>
        </is>
      </c>
      <c r="C162" s="11" t="inlineStr">
        <is>
          <t>President station RMU</t>
        </is>
      </c>
      <c r="D162" s="11" t="inlineStr">
        <is>
          <t>President station</t>
        </is>
      </c>
      <c r="E162" s="11" t="inlineStr">
        <is>
          <t>DI</t>
        </is>
      </c>
      <c r="F162" s="11" t="n">
        <v>3</v>
      </c>
      <c r="G162" s="11" t="inlineStr">
        <is>
          <t>R3-DI01</t>
        </is>
      </c>
      <c r="H162" s="11" t="inlineStr">
        <is>
          <t>DI-8112</t>
        </is>
      </c>
      <c r="I162" s="11" t="n">
        <v>3</v>
      </c>
      <c r="J162" s="11" t="inlineStr">
        <is>
          <t>Status</t>
        </is>
      </c>
      <c r="K162" s="11" t="inlineStr">
        <is>
          <t>Status</t>
        </is>
      </c>
      <c r="L162" s="11" t="inlineStr">
        <is>
          <t>-</t>
        </is>
      </c>
      <c r="M162" s="11" t="n"/>
    </row>
    <row r="163">
      <c r="A163" s="11" t="inlineStr">
        <is>
          <t>PRS-RS2-OPEN</t>
        </is>
      </c>
      <c r="B163" s="11" t="inlineStr">
        <is>
          <t>Ring switch 2 open</t>
        </is>
      </c>
      <c r="C163" s="11" t="inlineStr">
        <is>
          <t>President station RMU</t>
        </is>
      </c>
      <c r="D163" s="11" t="inlineStr">
        <is>
          <t>President station</t>
        </is>
      </c>
      <c r="E163" s="11" t="inlineStr">
        <is>
          <t>DI</t>
        </is>
      </c>
      <c r="F163" s="11" t="n">
        <v>3</v>
      </c>
      <c r="G163" s="11" t="inlineStr">
        <is>
          <t>R3-DI01</t>
        </is>
      </c>
      <c r="H163" s="11" t="inlineStr">
        <is>
          <t>DI-8112</t>
        </is>
      </c>
      <c r="I163" s="11" t="n">
        <v>4</v>
      </c>
      <c r="J163" s="11" t="inlineStr">
        <is>
          <t>Status</t>
        </is>
      </c>
      <c r="K163" s="11" t="inlineStr">
        <is>
          <t>Status</t>
        </is>
      </c>
      <c r="L163" s="11" t="inlineStr">
        <is>
          <t>-</t>
        </is>
      </c>
      <c r="M163" s="11" t="n"/>
    </row>
    <row r="164">
      <c r="A164" s="11" t="inlineStr">
        <is>
          <t>PRS-RS2-CLSD</t>
        </is>
      </c>
      <c r="B164" s="11" t="inlineStr">
        <is>
          <t>Ring switch 2 closed</t>
        </is>
      </c>
      <c r="C164" s="11" t="inlineStr">
        <is>
          <t>President station RMU</t>
        </is>
      </c>
      <c r="D164" s="11" t="inlineStr">
        <is>
          <t>President station</t>
        </is>
      </c>
      <c r="E164" s="11" t="inlineStr">
        <is>
          <t>DI</t>
        </is>
      </c>
      <c r="F164" s="11" t="n">
        <v>3</v>
      </c>
      <c r="G164" s="11" t="inlineStr">
        <is>
          <t>R3-DI01</t>
        </is>
      </c>
      <c r="H164" s="11" t="inlineStr">
        <is>
          <t>DI-8112</t>
        </is>
      </c>
      <c r="I164" s="11" t="n">
        <v>5</v>
      </c>
      <c r="J164" s="11" t="inlineStr">
        <is>
          <t>Status</t>
        </is>
      </c>
      <c r="K164" s="11" t="inlineStr">
        <is>
          <t>Status</t>
        </is>
      </c>
      <c r="L164" s="11" t="inlineStr">
        <is>
          <t>-</t>
        </is>
      </c>
      <c r="M164" s="11" t="n"/>
    </row>
    <row r="165">
      <c r="A165" s="11" t="inlineStr">
        <is>
          <t>PRS-RS2-ES</t>
        </is>
      </c>
      <c r="B165" s="11" t="inlineStr">
        <is>
          <t>Ring switch 2 earth switch closed</t>
        </is>
      </c>
      <c r="C165" s="11" t="inlineStr">
        <is>
          <t>President station RMU</t>
        </is>
      </c>
      <c r="D165" s="11" t="inlineStr">
        <is>
          <t>President station</t>
        </is>
      </c>
      <c r="E165" s="11" t="inlineStr">
        <is>
          <t>DI</t>
        </is>
      </c>
      <c r="F165" s="11" t="n">
        <v>3</v>
      </c>
      <c r="G165" s="11" t="inlineStr">
        <is>
          <t>R3-DI01</t>
        </is>
      </c>
      <c r="H165" s="11" t="inlineStr">
        <is>
          <t>DI-8112</t>
        </is>
      </c>
      <c r="I165" s="11" t="n">
        <v>6</v>
      </c>
      <c r="J165" s="11" t="inlineStr">
        <is>
          <t>Status</t>
        </is>
      </c>
      <c r="K165" s="11" t="inlineStr">
        <is>
          <t>Status</t>
        </is>
      </c>
      <c r="L165" s="11" t="inlineStr">
        <is>
          <t>-</t>
        </is>
      </c>
      <c r="M165" s="11" t="n"/>
    </row>
    <row r="166">
      <c r="A166" s="11" t="inlineStr">
        <is>
          <t>PRS-CB-OPEN</t>
        </is>
      </c>
      <c r="B166" s="11" t="inlineStr">
        <is>
          <t>Transformer breaker open</t>
        </is>
      </c>
      <c r="C166" s="11" t="inlineStr">
        <is>
          <t>President station RMU</t>
        </is>
      </c>
      <c r="D166" s="11" t="inlineStr">
        <is>
          <t>President station</t>
        </is>
      </c>
      <c r="E166" s="11" t="inlineStr">
        <is>
          <t>DI</t>
        </is>
      </c>
      <c r="F166" s="11" t="n">
        <v>3</v>
      </c>
      <c r="G166" s="11" t="inlineStr">
        <is>
          <t>R3-DI01</t>
        </is>
      </c>
      <c r="H166" s="11" t="inlineStr">
        <is>
          <t>DI-8112</t>
        </is>
      </c>
      <c r="I166" s="11" t="n">
        <v>7</v>
      </c>
      <c r="J166" s="11" t="inlineStr">
        <is>
          <t>Status</t>
        </is>
      </c>
      <c r="K166" s="11" t="inlineStr">
        <is>
          <t>Status</t>
        </is>
      </c>
      <c r="L166" s="11" t="inlineStr">
        <is>
          <t>-</t>
        </is>
      </c>
      <c r="M166" s="11" t="n"/>
    </row>
    <row r="167">
      <c r="A167" s="11" t="inlineStr">
        <is>
          <t>PRS-CB-CLSD</t>
        </is>
      </c>
      <c r="B167" s="11" t="inlineStr">
        <is>
          <t>Transformer breaker closed</t>
        </is>
      </c>
      <c r="C167" s="11" t="inlineStr">
        <is>
          <t>President station RMU</t>
        </is>
      </c>
      <c r="D167" s="11" t="inlineStr">
        <is>
          <t>President station</t>
        </is>
      </c>
      <c r="E167" s="11" t="inlineStr">
        <is>
          <t>DI</t>
        </is>
      </c>
      <c r="F167" s="11" t="n">
        <v>3</v>
      </c>
      <c r="G167" s="11" t="inlineStr">
        <is>
          <t>R3-DI01</t>
        </is>
      </c>
      <c r="H167" s="11" t="inlineStr">
        <is>
          <t>DI-8112</t>
        </is>
      </c>
      <c r="I167" s="11" t="n">
        <v>8</v>
      </c>
      <c r="J167" s="11" t="inlineStr">
        <is>
          <t>Status</t>
        </is>
      </c>
      <c r="K167" s="11" t="inlineStr">
        <is>
          <t>Status</t>
        </is>
      </c>
      <c r="L167" s="11" t="inlineStr">
        <is>
          <t>-</t>
        </is>
      </c>
      <c r="M167" s="11" t="n"/>
    </row>
    <row r="168">
      <c r="A168" s="11" t="inlineStr">
        <is>
          <t>PRS-CB-ES</t>
        </is>
      </c>
      <c r="B168" s="11" t="inlineStr">
        <is>
          <t>Transformer breaker earth switch closed</t>
        </is>
      </c>
      <c r="C168" s="11" t="inlineStr">
        <is>
          <t>President station RMU</t>
        </is>
      </c>
      <c r="D168" s="11" t="inlineStr">
        <is>
          <t>President station</t>
        </is>
      </c>
      <c r="E168" s="11" t="inlineStr">
        <is>
          <t>DI</t>
        </is>
      </c>
      <c r="F168" s="11" t="n">
        <v>3</v>
      </c>
      <c r="G168" s="11" t="inlineStr">
        <is>
          <t>R3-DI01</t>
        </is>
      </c>
      <c r="H168" s="11" t="inlineStr">
        <is>
          <t>DI-8112</t>
        </is>
      </c>
      <c r="I168" s="11" t="n">
        <v>9</v>
      </c>
      <c r="J168" s="11" t="inlineStr">
        <is>
          <t>Status</t>
        </is>
      </c>
      <c r="K168" s="11" t="inlineStr">
        <is>
          <t>Status</t>
        </is>
      </c>
      <c r="L168" s="11" t="inlineStr">
        <is>
          <t>-</t>
        </is>
      </c>
      <c r="M168" s="11" t="n"/>
    </row>
    <row r="169">
      <c r="A169" s="11" t="inlineStr">
        <is>
          <t>PRS-CB-TRIP</t>
        </is>
      </c>
      <c r="B169" s="11" t="inlineStr">
        <is>
          <t>Transformer breaker tripped by ST260E</t>
        </is>
      </c>
      <c r="C169" s="11" t="inlineStr">
        <is>
          <t>President station RMU</t>
        </is>
      </c>
      <c r="D169" s="11" t="inlineStr">
        <is>
          <t>President station</t>
        </is>
      </c>
      <c r="E169" s="11" t="inlineStr">
        <is>
          <t>DI</t>
        </is>
      </c>
      <c r="F169" s="11" t="n">
        <v>3</v>
      </c>
      <c r="G169" s="11" t="inlineStr">
        <is>
          <t>R3-DI01</t>
        </is>
      </c>
      <c r="H169" s="11" t="inlineStr">
        <is>
          <t>DI-8112</t>
        </is>
      </c>
      <c r="I169" s="11" t="n">
        <v>10</v>
      </c>
      <c r="J169" s="11" t="inlineStr">
        <is>
          <t>Normally open</t>
        </is>
      </c>
      <c r="K169" s="11" t="inlineStr">
        <is>
          <t>1</t>
        </is>
      </c>
      <c r="L169" s="11" t="inlineStr">
        <is>
          <t>-</t>
        </is>
      </c>
      <c r="M169" s="11" t="n"/>
    </row>
    <row r="170">
      <c r="A170" s="11" t="inlineStr">
        <is>
          <t>PRS-GAS-LOW</t>
        </is>
      </c>
      <c r="B170" s="11" t="inlineStr">
        <is>
          <t>RMU gas pressure low</t>
        </is>
      </c>
      <c r="C170" s="11" t="inlineStr">
        <is>
          <t>President station RMU</t>
        </is>
      </c>
      <c r="D170" s="11" t="inlineStr">
        <is>
          <t>President station</t>
        </is>
      </c>
      <c r="E170" s="11" t="inlineStr">
        <is>
          <t>DI</t>
        </is>
      </c>
      <c r="F170" s="11" t="n">
        <v>3</v>
      </c>
      <c r="G170" s="11" t="inlineStr">
        <is>
          <t>R3-DI01</t>
        </is>
      </c>
      <c r="H170" s="11" t="inlineStr">
        <is>
          <t>DI-8112</t>
        </is>
      </c>
      <c r="I170" s="11" t="n">
        <v>11</v>
      </c>
      <c r="J170" s="11" t="inlineStr">
        <is>
          <t>Normally open</t>
        </is>
      </c>
      <c r="K170" s="11" t="inlineStr">
        <is>
          <t>2</t>
        </is>
      </c>
      <c r="L170" s="11" t="inlineStr">
        <is>
          <t>-</t>
        </is>
      </c>
      <c r="M170" s="11" t="n"/>
    </row>
    <row r="171">
      <c r="A171" s="11" t="inlineStr">
        <is>
          <t>PRS-LR-REM</t>
        </is>
      </c>
      <c r="B171" s="11" t="inlineStr">
        <is>
          <t>RMU local/remote in remote</t>
        </is>
      </c>
      <c r="C171" s="11" t="inlineStr">
        <is>
          <t>President station RMU</t>
        </is>
      </c>
      <c r="D171" s="11" t="inlineStr">
        <is>
          <t>President station</t>
        </is>
      </c>
      <c r="E171" s="11" t="inlineStr">
        <is>
          <t>DI</t>
        </is>
      </c>
      <c r="F171" s="11" t="n">
        <v>3</v>
      </c>
      <c r="G171" s="11" t="inlineStr">
        <is>
          <t>R3-DI01</t>
        </is>
      </c>
      <c r="H171" s="11" t="inlineStr">
        <is>
          <t>DI-8112</t>
        </is>
      </c>
      <c r="I171" s="11" t="n">
        <v>12</v>
      </c>
      <c r="J171" s="11" t="inlineStr">
        <is>
          <t>Status</t>
        </is>
      </c>
      <c r="K171" s="11" t="inlineStr">
        <is>
          <t>Status</t>
        </is>
      </c>
      <c r="L171" s="11" t="inlineStr">
        <is>
          <t>-</t>
        </is>
      </c>
      <c r="M171" s="11" t="n"/>
    </row>
    <row r="172">
      <c r="A172" s="11" t="inlineStr">
        <is>
          <t>PRS-FPI</t>
        </is>
      </c>
      <c r="B172" s="11" t="inlineStr">
        <is>
          <t>Fault passage indicator operated</t>
        </is>
      </c>
      <c r="C172" s="11" t="inlineStr">
        <is>
          <t>President station RMU</t>
        </is>
      </c>
      <c r="D172" s="11" t="inlineStr">
        <is>
          <t>President station</t>
        </is>
      </c>
      <c r="E172" s="11" t="inlineStr">
        <is>
          <t>DI</t>
        </is>
      </c>
      <c r="F172" s="11" t="n">
        <v>3</v>
      </c>
      <c r="G172" s="11" t="inlineStr">
        <is>
          <t>R3-DI01</t>
        </is>
      </c>
      <c r="H172" s="11" t="inlineStr">
        <is>
          <t>DI-8112</t>
        </is>
      </c>
      <c r="I172" s="11" t="n">
        <v>13</v>
      </c>
      <c r="J172" s="11" t="inlineStr">
        <is>
          <t>Normally open</t>
        </is>
      </c>
      <c r="K172" s="11" t="inlineStr">
        <is>
          <t>2</t>
        </is>
      </c>
      <c r="L172" s="11" t="inlineStr">
        <is>
          <t>-</t>
        </is>
      </c>
      <c r="M172" s="11" t="n"/>
    </row>
    <row r="173">
      <c r="A173" s="11" t="inlineStr">
        <is>
          <t>PRS-TX-OT-ALM</t>
        </is>
      </c>
      <c r="B173" s="11" t="inlineStr">
        <is>
          <t>Oil temperature alarm</t>
        </is>
      </c>
      <c r="C173" s="11" t="inlineStr">
        <is>
          <t>President station transformer 630 kVA</t>
        </is>
      </c>
      <c r="D173" s="11" t="inlineStr">
        <is>
          <t>President station</t>
        </is>
      </c>
      <c r="E173" s="11" t="inlineStr">
        <is>
          <t>DI</t>
        </is>
      </c>
      <c r="F173" s="11" t="n">
        <v>3</v>
      </c>
      <c r="G173" s="11" t="inlineStr">
        <is>
          <t>R3-DI01</t>
        </is>
      </c>
      <c r="H173" s="11" t="inlineStr">
        <is>
          <t>DI-8112</t>
        </is>
      </c>
      <c r="I173" s="11" t="n">
        <v>14</v>
      </c>
      <c r="J173" s="11" t="inlineStr">
        <is>
          <t>Normally open</t>
        </is>
      </c>
      <c r="K173" s="11" t="inlineStr">
        <is>
          <t>3</t>
        </is>
      </c>
      <c r="L173" s="11" t="inlineStr">
        <is>
          <t>-</t>
        </is>
      </c>
      <c r="M173" s="11" t="n"/>
    </row>
    <row r="174">
      <c r="A174" s="11" t="inlineStr">
        <is>
          <t>PRS-TX-OT-TRIP</t>
        </is>
      </c>
      <c r="B174" s="11" t="inlineStr">
        <is>
          <t>Oil temperature trip</t>
        </is>
      </c>
      <c r="C174" s="11" t="inlineStr">
        <is>
          <t>President station transformer 630 kVA</t>
        </is>
      </c>
      <c r="D174" s="11" t="inlineStr">
        <is>
          <t>President station</t>
        </is>
      </c>
      <c r="E174" s="11" t="inlineStr">
        <is>
          <t>DI</t>
        </is>
      </c>
      <c r="F174" s="11" t="n">
        <v>3</v>
      </c>
      <c r="G174" s="11" t="inlineStr">
        <is>
          <t>R3-DI01</t>
        </is>
      </c>
      <c r="H174" s="11" t="inlineStr">
        <is>
          <t>DI-8112</t>
        </is>
      </c>
      <c r="I174" s="11" t="n">
        <v>15</v>
      </c>
      <c r="J174" s="11" t="inlineStr">
        <is>
          <t>Normally open</t>
        </is>
      </c>
      <c r="K174" s="11" t="inlineStr">
        <is>
          <t>1</t>
        </is>
      </c>
      <c r="L174" s="11" t="inlineStr">
        <is>
          <t>-</t>
        </is>
      </c>
      <c r="M174" s="11" t="n"/>
    </row>
    <row r="175">
      <c r="A175" s="11" t="inlineStr">
        <is>
          <t>PRS-TX-WT-ALM</t>
        </is>
      </c>
      <c r="B175" s="11" t="inlineStr">
        <is>
          <t>Winding temperature alarm</t>
        </is>
      </c>
      <c r="C175" s="11" t="inlineStr">
        <is>
          <t>President station transformer 630 kVA</t>
        </is>
      </c>
      <c r="D175" s="11" t="inlineStr">
        <is>
          <t>President station</t>
        </is>
      </c>
      <c r="E175" s="11" t="inlineStr">
        <is>
          <t>DI</t>
        </is>
      </c>
      <c r="F175" s="11" t="n">
        <v>3</v>
      </c>
      <c r="G175" s="11" t="inlineStr">
        <is>
          <t>R3-DI01</t>
        </is>
      </c>
      <c r="H175" s="11" t="inlineStr">
        <is>
          <t>DI-8112</t>
        </is>
      </c>
      <c r="I175" s="11" t="n">
        <v>16</v>
      </c>
      <c r="J175" s="11" t="inlineStr">
        <is>
          <t>Normally open</t>
        </is>
      </c>
      <c r="K175" s="11" t="inlineStr">
        <is>
          <t>3</t>
        </is>
      </c>
      <c r="L175" s="11" t="inlineStr">
        <is>
          <t>-</t>
        </is>
      </c>
      <c r="M175" s="11" t="n"/>
    </row>
    <row r="176">
      <c r="A176" s="11" t="inlineStr">
        <is>
          <t>PRS-TX-WT-TRIP</t>
        </is>
      </c>
      <c r="B176" s="11" t="inlineStr">
        <is>
          <t>Winding temperature trip</t>
        </is>
      </c>
      <c r="C176" s="11" t="inlineStr">
        <is>
          <t>President station transformer 630 kVA</t>
        </is>
      </c>
      <c r="D176" s="11" t="inlineStr">
        <is>
          <t>President station</t>
        </is>
      </c>
      <c r="E176" s="11" t="inlineStr">
        <is>
          <t>DI</t>
        </is>
      </c>
      <c r="F176" s="11" t="n">
        <v>3</v>
      </c>
      <c r="G176" s="11" t="inlineStr">
        <is>
          <t>R3-DI02</t>
        </is>
      </c>
      <c r="H176" s="11" t="inlineStr">
        <is>
          <t>DI-8112</t>
        </is>
      </c>
      <c r="I176" s="11" t="n">
        <v>1</v>
      </c>
      <c r="J176" s="11" t="inlineStr">
        <is>
          <t>Normally open</t>
        </is>
      </c>
      <c r="K176" s="11" t="inlineStr">
        <is>
          <t>1</t>
        </is>
      </c>
      <c r="L176" s="11" t="inlineStr">
        <is>
          <t>-</t>
        </is>
      </c>
      <c r="M176" s="11" t="n"/>
    </row>
    <row r="177">
      <c r="A177" s="11" t="inlineStr">
        <is>
          <t>PRS-TX-PRD</t>
        </is>
      </c>
      <c r="B177" s="11" t="inlineStr">
        <is>
          <t>Pressure relief device operated</t>
        </is>
      </c>
      <c r="C177" s="11" t="inlineStr">
        <is>
          <t>President station transformer 630 kVA</t>
        </is>
      </c>
      <c r="D177" s="11" t="inlineStr">
        <is>
          <t>President station</t>
        </is>
      </c>
      <c r="E177" s="11" t="inlineStr">
        <is>
          <t>DI</t>
        </is>
      </c>
      <c r="F177" s="11" t="n">
        <v>3</v>
      </c>
      <c r="G177" s="11" t="inlineStr">
        <is>
          <t>R3-DI02</t>
        </is>
      </c>
      <c r="H177" s="11" t="inlineStr">
        <is>
          <t>DI-8112</t>
        </is>
      </c>
      <c r="I177" s="11" t="n">
        <v>2</v>
      </c>
      <c r="J177" s="11" t="inlineStr">
        <is>
          <t>Normally open</t>
        </is>
      </c>
      <c r="K177" s="11" t="inlineStr">
        <is>
          <t>1</t>
        </is>
      </c>
      <c r="L177" s="11" t="inlineStr">
        <is>
          <t>-</t>
        </is>
      </c>
      <c r="M177" s="11" t="n"/>
    </row>
    <row r="178" ht="25.5" customHeight="1">
      <c r="A178" s="11" t="inlineStr">
        <is>
          <t>PRS-TX-OL-LOW</t>
        </is>
      </c>
      <c r="B178" s="11" t="inlineStr">
        <is>
          <t>Oil level low</t>
        </is>
      </c>
      <c r="C178" s="11" t="inlineStr">
        <is>
          <t>President station transformer 630 kVA</t>
        </is>
      </c>
      <c r="D178" s="11" t="inlineStr">
        <is>
          <t>President station</t>
        </is>
      </c>
      <c r="E178" s="11" t="inlineStr">
        <is>
          <t>DI</t>
        </is>
      </c>
      <c r="F178" s="11" t="n">
        <v>3</v>
      </c>
      <c r="G178" s="11" t="inlineStr">
        <is>
          <t>R3-DI02</t>
        </is>
      </c>
      <c r="H178" s="11" t="inlineStr">
        <is>
          <t>DI-8112</t>
        </is>
      </c>
      <c r="I178" s="11" t="n">
        <v>3</v>
      </c>
      <c r="J178" s="11" t="inlineStr">
        <is>
          <t>Normally open</t>
        </is>
      </c>
      <c r="K178" s="11" t="inlineStr">
        <is>
          <t>2</t>
        </is>
      </c>
      <c r="L178" s="11" t="inlineStr">
        <is>
          <t>-</t>
        </is>
      </c>
      <c r="M178" s="11" t="n"/>
    </row>
    <row r="179">
      <c r="A179" s="11" t="inlineStr">
        <is>
          <t>PRS-LV-INC-CLSD</t>
        </is>
      </c>
      <c r="B179" s="11" t="inlineStr">
        <is>
          <t>LV incomer closed</t>
        </is>
      </c>
      <c r="C179" s="11" t="inlineStr">
        <is>
          <t>President station LVDB</t>
        </is>
      </c>
      <c r="D179" s="11" t="inlineStr">
        <is>
          <t>President station</t>
        </is>
      </c>
      <c r="E179" s="11" t="inlineStr">
        <is>
          <t>DI</t>
        </is>
      </c>
      <c r="F179" s="11" t="n">
        <v>3</v>
      </c>
      <c r="G179" s="11" t="inlineStr">
        <is>
          <t>R3-DI02</t>
        </is>
      </c>
      <c r="H179" s="11" t="inlineStr">
        <is>
          <t>DI-8112</t>
        </is>
      </c>
      <c r="I179" s="11" t="n">
        <v>4</v>
      </c>
      <c r="J179" s="11" t="inlineStr">
        <is>
          <t>Status</t>
        </is>
      </c>
      <c r="K179" s="11" t="inlineStr">
        <is>
          <t>Status</t>
        </is>
      </c>
      <c r="L179" s="11" t="inlineStr">
        <is>
          <t>-</t>
        </is>
      </c>
      <c r="M179" s="11" t="n"/>
    </row>
    <row r="180" ht="25.5" customHeight="1">
      <c r="A180" s="11" t="inlineStr">
        <is>
          <t>PRS-LV-INC-TRIP</t>
        </is>
      </c>
      <c r="B180" s="11" t="inlineStr">
        <is>
          <t>LV incomer tripped</t>
        </is>
      </c>
      <c r="C180" s="11" t="inlineStr">
        <is>
          <t>President station LVDB</t>
        </is>
      </c>
      <c r="D180" s="11" t="inlineStr">
        <is>
          <t>President station</t>
        </is>
      </c>
      <c r="E180" s="11" t="inlineStr">
        <is>
          <t>DI</t>
        </is>
      </c>
      <c r="F180" s="11" t="n">
        <v>3</v>
      </c>
      <c r="G180" s="11" t="inlineStr">
        <is>
          <t>R3-DI02</t>
        </is>
      </c>
      <c r="H180" s="11" t="inlineStr">
        <is>
          <t>DI-8112</t>
        </is>
      </c>
      <c r="I180" s="11" t="n">
        <v>5</v>
      </c>
      <c r="J180" s="11" t="inlineStr">
        <is>
          <t>Normally open</t>
        </is>
      </c>
      <c r="K180" s="11" t="inlineStr">
        <is>
          <t>2</t>
        </is>
      </c>
      <c r="L180" s="11" t="inlineStr">
        <is>
          <t>-</t>
        </is>
      </c>
      <c r="M180" s="11" t="n"/>
    </row>
    <row r="181">
      <c r="A181" s="11" t="inlineStr">
        <is>
          <t>PRS-LV-F01-CLSD</t>
        </is>
      </c>
      <c r="B181" s="11" t="inlineStr">
        <is>
          <t>Outgoing way 1 closed</t>
        </is>
      </c>
      <c r="C181" s="11" t="inlineStr">
        <is>
          <t>President station LVDB</t>
        </is>
      </c>
      <c r="D181" s="11" t="inlineStr">
        <is>
          <t>President station</t>
        </is>
      </c>
      <c r="E181" s="11" t="inlineStr">
        <is>
          <t>DI</t>
        </is>
      </c>
      <c r="F181" s="11" t="n">
        <v>3</v>
      </c>
      <c r="G181" s="11" t="inlineStr">
        <is>
          <t>R3-DI02</t>
        </is>
      </c>
      <c r="H181" s="11" t="inlineStr">
        <is>
          <t>DI-8112</t>
        </is>
      </c>
      <c r="I181" s="11" t="n">
        <v>6</v>
      </c>
      <c r="J181" s="11" t="inlineStr">
        <is>
          <t>Status</t>
        </is>
      </c>
      <c r="K181" s="11" t="inlineStr">
        <is>
          <t>Status</t>
        </is>
      </c>
      <c r="L181" s="11" t="inlineStr">
        <is>
          <t>-</t>
        </is>
      </c>
      <c r="M181" s="11" t="n"/>
    </row>
    <row r="182" ht="25.5" customHeight="1">
      <c r="A182" s="11" t="inlineStr">
        <is>
          <t>PRS-LV-F02-CLSD</t>
        </is>
      </c>
      <c r="B182" s="11" t="inlineStr">
        <is>
          <t>Outgoing way 2 closed</t>
        </is>
      </c>
      <c r="C182" s="11" t="inlineStr">
        <is>
          <t>President station LVDB</t>
        </is>
      </c>
      <c r="D182" s="11" t="inlineStr">
        <is>
          <t>President station</t>
        </is>
      </c>
      <c r="E182" s="11" t="inlineStr">
        <is>
          <t>DI</t>
        </is>
      </c>
      <c r="F182" s="11" t="n">
        <v>3</v>
      </c>
      <c r="G182" s="11" t="inlineStr">
        <is>
          <t>R3-DI02</t>
        </is>
      </c>
      <c r="H182" s="11" t="inlineStr">
        <is>
          <t>DI-8112</t>
        </is>
      </c>
      <c r="I182" s="11" t="n">
        <v>7</v>
      </c>
      <c r="J182" s="11" t="inlineStr">
        <is>
          <t>Status</t>
        </is>
      </c>
      <c r="K182" s="11" t="inlineStr">
        <is>
          <t>Status</t>
        </is>
      </c>
      <c r="L182" s="11" t="inlineStr">
        <is>
          <t>-</t>
        </is>
      </c>
      <c r="M182" s="11" t="n"/>
    </row>
    <row r="183">
      <c r="A183" s="11" t="inlineStr">
        <is>
          <t>PRS-LV-F03-CLSD</t>
        </is>
      </c>
      <c r="B183" s="11" t="inlineStr">
        <is>
          <t>Outgoing way 3 closed</t>
        </is>
      </c>
      <c r="C183" s="11" t="inlineStr">
        <is>
          <t>President station LVDB</t>
        </is>
      </c>
      <c r="D183" s="11" t="inlineStr">
        <is>
          <t>President station</t>
        </is>
      </c>
      <c r="E183" s="11" t="inlineStr">
        <is>
          <t>DI</t>
        </is>
      </c>
      <c r="F183" s="11" t="n">
        <v>3</v>
      </c>
      <c r="G183" s="11" t="inlineStr">
        <is>
          <t>R3-DI02</t>
        </is>
      </c>
      <c r="H183" s="11" t="inlineStr">
        <is>
          <t>DI-8112</t>
        </is>
      </c>
      <c r="I183" s="11" t="n">
        <v>8</v>
      </c>
      <c r="J183" s="11" t="inlineStr">
        <is>
          <t>Status</t>
        </is>
      </c>
      <c r="K183" s="11" t="inlineStr">
        <is>
          <t>Status</t>
        </is>
      </c>
      <c r="L183" s="11" t="inlineStr">
        <is>
          <t>-</t>
        </is>
      </c>
      <c r="M183" s="11" t="n"/>
    </row>
    <row r="184">
      <c r="A184" s="11" t="inlineStr">
        <is>
          <t>PRS-LV-F04-CLSD</t>
        </is>
      </c>
      <c r="B184" s="11" t="inlineStr">
        <is>
          <t>Outgoing way 4 closed</t>
        </is>
      </c>
      <c r="C184" s="11" t="inlineStr">
        <is>
          <t>President station LVDB</t>
        </is>
      </c>
      <c r="D184" s="11" t="inlineStr">
        <is>
          <t>President station</t>
        </is>
      </c>
      <c r="E184" s="11" t="inlineStr">
        <is>
          <t>DI</t>
        </is>
      </c>
      <c r="F184" s="11" t="n">
        <v>3</v>
      </c>
      <c r="G184" s="11" t="inlineStr">
        <is>
          <t>R3-DI02</t>
        </is>
      </c>
      <c r="H184" s="11" t="inlineStr">
        <is>
          <t>DI-8112</t>
        </is>
      </c>
      <c r="I184" s="11" t="n">
        <v>9</v>
      </c>
      <c r="J184" s="11" t="inlineStr">
        <is>
          <t>Status</t>
        </is>
      </c>
      <c r="K184" s="11" t="inlineStr">
        <is>
          <t>Status</t>
        </is>
      </c>
      <c r="L184" s="11" t="inlineStr">
        <is>
          <t>-</t>
        </is>
      </c>
      <c r="M184" s="11" t="n"/>
    </row>
    <row r="185" ht="25.5" customHeight="1">
      <c r="A185" s="11" t="inlineStr">
        <is>
          <t>PRS-LV-F05-CLSD</t>
        </is>
      </c>
      <c r="B185" s="11" t="inlineStr">
        <is>
          <t>Outgoing way 5 closed</t>
        </is>
      </c>
      <c r="C185" s="11" t="inlineStr">
        <is>
          <t>President station LVDB</t>
        </is>
      </c>
      <c r="D185" s="11" t="inlineStr">
        <is>
          <t>President station</t>
        </is>
      </c>
      <c r="E185" s="11" t="inlineStr">
        <is>
          <t>DI</t>
        </is>
      </c>
      <c r="F185" s="11" t="n">
        <v>3</v>
      </c>
      <c r="G185" s="11" t="inlineStr">
        <is>
          <t>R3-DI02</t>
        </is>
      </c>
      <c r="H185" s="11" t="inlineStr">
        <is>
          <t>DI-8112</t>
        </is>
      </c>
      <c r="I185" s="11" t="n">
        <v>10</v>
      </c>
      <c r="J185" s="11" t="inlineStr">
        <is>
          <t>Status</t>
        </is>
      </c>
      <c r="K185" s="11" t="inlineStr">
        <is>
          <t>Status</t>
        </is>
      </c>
      <c r="L185" s="11" t="inlineStr">
        <is>
          <t>-</t>
        </is>
      </c>
      <c r="M185" s="11" t="n"/>
    </row>
    <row r="186" ht="25.5" customHeight="1">
      <c r="A186" s="11" t="inlineStr">
        <is>
          <t>PRS-LV-F06-CLSD</t>
        </is>
      </c>
      <c r="B186" s="11" t="inlineStr">
        <is>
          <t>Outgoing way 6 closed</t>
        </is>
      </c>
      <c r="C186" s="11" t="inlineStr">
        <is>
          <t>President station LVDB</t>
        </is>
      </c>
      <c r="D186" s="11" t="inlineStr">
        <is>
          <t>President station</t>
        </is>
      </c>
      <c r="E186" s="11" t="inlineStr">
        <is>
          <t>DI</t>
        </is>
      </c>
      <c r="F186" s="11" t="n">
        <v>3</v>
      </c>
      <c r="G186" s="11" t="inlineStr">
        <is>
          <t>R3-DI02</t>
        </is>
      </c>
      <c r="H186" s="11" t="inlineStr">
        <is>
          <t>DI-8112</t>
        </is>
      </c>
      <c r="I186" s="11" t="n">
        <v>11</v>
      </c>
      <c r="J186" s="11" t="inlineStr">
        <is>
          <t>Status</t>
        </is>
      </c>
      <c r="K186" s="11" t="inlineStr">
        <is>
          <t>Status</t>
        </is>
      </c>
      <c r="L186" s="11" t="inlineStr">
        <is>
          <t>-</t>
        </is>
      </c>
      <c r="M186" s="11" t="n"/>
    </row>
    <row r="187" ht="25.5" customHeight="1">
      <c r="A187" s="11" t="inlineStr">
        <is>
          <t>PRS-LV-F07-CLSD</t>
        </is>
      </c>
      <c r="B187" s="11" t="inlineStr">
        <is>
          <t>Outgoing way 7 closed</t>
        </is>
      </c>
      <c r="C187" s="11" t="inlineStr">
        <is>
          <t>President station LVDB</t>
        </is>
      </c>
      <c r="D187" s="11" t="inlineStr">
        <is>
          <t>President station</t>
        </is>
      </c>
      <c r="E187" s="11" t="inlineStr">
        <is>
          <t>DI</t>
        </is>
      </c>
      <c r="F187" s="11" t="n">
        <v>3</v>
      </c>
      <c r="G187" s="11" t="inlineStr">
        <is>
          <t>R3-DI02</t>
        </is>
      </c>
      <c r="H187" s="11" t="inlineStr">
        <is>
          <t>DI-8112</t>
        </is>
      </c>
      <c r="I187" s="11" t="n">
        <v>12</v>
      </c>
      <c r="J187" s="11" t="inlineStr">
        <is>
          <t>Status</t>
        </is>
      </c>
      <c r="K187" s="11" t="inlineStr">
        <is>
          <t>Status</t>
        </is>
      </c>
      <c r="L187" s="11" t="inlineStr">
        <is>
          <t>-</t>
        </is>
      </c>
      <c r="M187" s="11" t="n"/>
    </row>
    <row r="188" ht="25.5" customHeight="1">
      <c r="A188" s="11" t="inlineStr">
        <is>
          <t>PRS-LV-F08-CLSD</t>
        </is>
      </c>
      <c r="B188" s="11" t="inlineStr">
        <is>
          <t>Outgoing way 8 closed</t>
        </is>
      </c>
      <c r="C188" s="11" t="inlineStr">
        <is>
          <t>President station LVDB</t>
        </is>
      </c>
      <c r="D188" s="11" t="inlineStr">
        <is>
          <t>President station</t>
        </is>
      </c>
      <c r="E188" s="11" t="inlineStr">
        <is>
          <t>DI</t>
        </is>
      </c>
      <c r="F188" s="11" t="n">
        <v>3</v>
      </c>
      <c r="G188" s="11" t="inlineStr">
        <is>
          <t>R3-DI02</t>
        </is>
      </c>
      <c r="H188" s="11" t="inlineStr">
        <is>
          <t>DI-8112</t>
        </is>
      </c>
      <c r="I188" s="11" t="n">
        <v>13</v>
      </c>
      <c r="J188" s="11" t="inlineStr">
        <is>
          <t>Status</t>
        </is>
      </c>
      <c r="K188" s="11" t="inlineStr">
        <is>
          <t>Status</t>
        </is>
      </c>
      <c r="L188" s="11" t="inlineStr">
        <is>
          <t>-</t>
        </is>
      </c>
      <c r="M188" s="11" t="n"/>
    </row>
    <row r="189" ht="25.5" customHeight="1">
      <c r="A189" s="11" t="inlineStr">
        <is>
          <t>PRS-LV-F09-CLSD</t>
        </is>
      </c>
      <c r="B189" s="11" t="inlineStr">
        <is>
          <t>Outgoing way 9 closed</t>
        </is>
      </c>
      <c r="C189" s="11" t="inlineStr">
        <is>
          <t>President station LVDB</t>
        </is>
      </c>
      <c r="D189" s="11" t="inlineStr">
        <is>
          <t>President station</t>
        </is>
      </c>
      <c r="E189" s="11" t="inlineStr">
        <is>
          <t>DI</t>
        </is>
      </c>
      <c r="F189" s="11" t="n">
        <v>3</v>
      </c>
      <c r="G189" s="11" t="inlineStr">
        <is>
          <t>R3-DI02</t>
        </is>
      </c>
      <c r="H189" s="11" t="inlineStr">
        <is>
          <t>DI-8112</t>
        </is>
      </c>
      <c r="I189" s="11" t="n">
        <v>14</v>
      </c>
      <c r="J189" s="11" t="inlineStr">
        <is>
          <t>Status</t>
        </is>
      </c>
      <c r="K189" s="11" t="inlineStr">
        <is>
          <t>Status</t>
        </is>
      </c>
      <c r="L189" s="11" t="inlineStr">
        <is>
          <t>-</t>
        </is>
      </c>
      <c r="M189" s="11" t="n"/>
    </row>
    <row r="190" ht="25.5" customHeight="1">
      <c r="A190" s="11" t="inlineStr">
        <is>
          <t>PRS-LV-F10-CLSD</t>
        </is>
      </c>
      <c r="B190" s="11" t="inlineStr">
        <is>
          <t>Outgoing way 10 closed</t>
        </is>
      </c>
      <c r="C190" s="11" t="inlineStr">
        <is>
          <t>President station LVDB</t>
        </is>
      </c>
      <c r="D190" s="11" t="inlineStr">
        <is>
          <t>President station</t>
        </is>
      </c>
      <c r="E190" s="11" t="inlineStr">
        <is>
          <t>DI</t>
        </is>
      </c>
      <c r="F190" s="11" t="n">
        <v>3</v>
      </c>
      <c r="G190" s="11" t="inlineStr">
        <is>
          <t>R3-DI02</t>
        </is>
      </c>
      <c r="H190" s="11" t="inlineStr">
        <is>
          <t>DI-8112</t>
        </is>
      </c>
      <c r="I190" s="11" t="n">
        <v>15</v>
      </c>
      <c r="J190" s="11" t="inlineStr">
        <is>
          <t>Status</t>
        </is>
      </c>
      <c r="K190" s="11" t="inlineStr">
        <is>
          <t>Status</t>
        </is>
      </c>
      <c r="L190" s="11" t="inlineStr">
        <is>
          <t>-</t>
        </is>
      </c>
      <c r="M190" s="11" t="n"/>
    </row>
    <row r="191" ht="25.5" customHeight="1">
      <c r="A191" s="11" t="inlineStr">
        <is>
          <t>PRS-LV-SPD-FLT</t>
        </is>
      </c>
      <c r="B191" s="11" t="inlineStr">
        <is>
          <t>Surge arrester failed</t>
        </is>
      </c>
      <c r="C191" s="11" t="inlineStr">
        <is>
          <t>President station LVDB</t>
        </is>
      </c>
      <c r="D191" s="11" t="inlineStr">
        <is>
          <t>President station</t>
        </is>
      </c>
      <c r="E191" s="11" t="inlineStr">
        <is>
          <t>DI</t>
        </is>
      </c>
      <c r="F191" s="11" t="n">
        <v>3</v>
      </c>
      <c r="G191" s="11" t="inlineStr">
        <is>
          <t>R3-DI02</t>
        </is>
      </c>
      <c r="H191" s="11" t="inlineStr">
        <is>
          <t>DI-8112</t>
        </is>
      </c>
      <c r="I191" s="11" t="n">
        <v>16</v>
      </c>
      <c r="J191" s="11" t="inlineStr">
        <is>
          <t>Normally open</t>
        </is>
      </c>
      <c r="K191" s="11" t="inlineStr">
        <is>
          <t>3</t>
        </is>
      </c>
      <c r="L191" s="11" t="inlineStr">
        <is>
          <t>-</t>
        </is>
      </c>
      <c r="M191" s="11" t="n"/>
    </row>
    <row r="192" ht="25.5" customHeight="1">
      <c r="A192" s="11" t="inlineStr">
        <is>
          <t>PRS-PNL-SUP-OK</t>
        </is>
      </c>
      <c r="B192" s="11" t="inlineStr">
        <is>
          <t>I/O panel supply healthy</t>
        </is>
      </c>
      <c r="C192" s="11" t="inlineStr">
        <is>
          <t>President station LVDB</t>
        </is>
      </c>
      <c r="D192" s="11" t="inlineStr">
        <is>
          <t>President station</t>
        </is>
      </c>
      <c r="E192" s="11" t="inlineStr">
        <is>
          <t>DI</t>
        </is>
      </c>
      <c r="F192" s="11" t="n">
        <v>3</v>
      </c>
      <c r="G192" s="11" t="inlineStr">
        <is>
          <t>R3-DI03</t>
        </is>
      </c>
      <c r="H192" s="11" t="inlineStr">
        <is>
          <t>DI-8112</t>
        </is>
      </c>
      <c r="I192" s="11" t="n">
        <v>1</v>
      </c>
      <c r="J192" s="11" t="inlineStr">
        <is>
          <t>Normally closed</t>
        </is>
      </c>
      <c r="K192" s="11" t="inlineStr">
        <is>
          <t>2</t>
        </is>
      </c>
      <c r="L192" s="11" t="inlineStr">
        <is>
          <t>-</t>
        </is>
      </c>
      <c r="M192" s="11" t="n"/>
    </row>
    <row r="193" ht="25.5" customHeight="1">
      <c r="A193" s="11" t="inlineStr">
        <is>
          <t>PRS-UPS-ON-BATT</t>
        </is>
      </c>
      <c r="B193" s="11" t="inlineStr">
        <is>
          <t>RMU UPS 2 kVA on battery</t>
        </is>
      </c>
      <c r="C193" s="11" t="inlineStr">
        <is>
          <t>President station RMU</t>
        </is>
      </c>
      <c r="D193" s="11" t="inlineStr">
        <is>
          <t>President station</t>
        </is>
      </c>
      <c r="E193" s="11" t="inlineStr">
        <is>
          <t>DI</t>
        </is>
      </c>
      <c r="F193" s="11" t="n">
        <v>3</v>
      </c>
      <c r="G193" s="11" t="inlineStr">
        <is>
          <t>R3-DI03</t>
        </is>
      </c>
      <c r="H193" s="11" t="inlineStr">
        <is>
          <t>DI-8112</t>
        </is>
      </c>
      <c r="I193" s="11" t="n">
        <v>2</v>
      </c>
      <c r="J193" s="11" t="inlineStr">
        <is>
          <t>Normally open</t>
        </is>
      </c>
      <c r="K193" s="11" t="inlineStr">
        <is>
          <t>2</t>
        </is>
      </c>
      <c r="L193" s="11" t="inlineStr">
        <is>
          <t>-</t>
        </is>
      </c>
      <c r="M193" s="11" t="inlineStr">
        <is>
          <t>Added rev 1. UPS shown on the transformer stations drawing</t>
        </is>
      </c>
    </row>
    <row r="194" ht="25.5" customHeight="1">
      <c r="A194" s="11" t="inlineStr">
        <is>
          <t>PRS-UPS-FLT</t>
        </is>
      </c>
      <c r="B194" s="11" t="inlineStr">
        <is>
          <t>RMU UPS 2 kVA fault</t>
        </is>
      </c>
      <c r="C194" s="11" t="inlineStr">
        <is>
          <t>President station RMU</t>
        </is>
      </c>
      <c r="D194" s="11" t="inlineStr">
        <is>
          <t>President station</t>
        </is>
      </c>
      <c r="E194" s="11" t="inlineStr">
        <is>
          <t>DI</t>
        </is>
      </c>
      <c r="F194" s="11" t="n">
        <v>3</v>
      </c>
      <c r="G194" s="11" t="inlineStr">
        <is>
          <t>R3-DI03</t>
        </is>
      </c>
      <c r="H194" s="11" t="inlineStr">
        <is>
          <t>DI-8112</t>
        </is>
      </c>
      <c r="I194" s="11" t="n">
        <v>3</v>
      </c>
      <c r="J194" s="11" t="inlineStr">
        <is>
          <t>Normally open</t>
        </is>
      </c>
      <c r="K194" s="11" t="inlineStr">
        <is>
          <t>2</t>
        </is>
      </c>
      <c r="L194" s="11" t="inlineStr">
        <is>
          <t>-</t>
        </is>
      </c>
      <c r="M194" s="11" t="inlineStr">
        <is>
          <t>Added rev 1</t>
        </is>
      </c>
    </row>
    <row r="195" ht="25.5" customHeight="1">
      <c r="A195" s="11" t="inlineStr">
        <is>
          <t>PRS-RS1-OPEN-CMD</t>
        </is>
      </c>
      <c r="B195" s="11" t="inlineStr">
        <is>
          <t>Open ring switch 1</t>
        </is>
      </c>
      <c r="C195" s="11" t="inlineStr">
        <is>
          <t>President station RMU</t>
        </is>
      </c>
      <c r="D195" s="11" t="inlineStr">
        <is>
          <t>President station</t>
        </is>
      </c>
      <c r="E195" s="11" t="inlineStr">
        <is>
          <t>DO</t>
        </is>
      </c>
      <c r="F195" s="11" t="n">
        <v>3</v>
      </c>
      <c r="G195" s="11" t="inlineStr">
        <is>
          <t>R3-CO01</t>
        </is>
      </c>
      <c r="H195" s="11" t="inlineStr">
        <is>
          <t>DO-8221</t>
        </is>
      </c>
      <c r="I195" s="11" t="n">
        <v>1</v>
      </c>
      <c r="J195" s="11" t="inlineStr">
        <is>
          <t>Pulse</t>
        </is>
      </c>
      <c r="K195" s="11" t="inlineStr">
        <is>
          <t>-</t>
        </is>
      </c>
      <c r="L195" s="11" t="inlineStr">
        <is>
          <t>Operator</t>
        </is>
      </c>
      <c r="M195" s="11" t="inlineStr">
        <is>
          <t>Select then confirm</t>
        </is>
      </c>
    </row>
    <row r="196" ht="25.5" customHeight="1">
      <c r="A196" s="11" t="inlineStr">
        <is>
          <t>PRS-RS1-CLOSE-CMD</t>
        </is>
      </c>
      <c r="B196" s="11" t="inlineStr">
        <is>
          <t>Close ring switch 1</t>
        </is>
      </c>
      <c r="C196" s="11" t="inlineStr">
        <is>
          <t>President station RMU</t>
        </is>
      </c>
      <c r="D196" s="11" t="inlineStr">
        <is>
          <t>President station</t>
        </is>
      </c>
      <c r="E196" s="11" t="inlineStr">
        <is>
          <t>DO</t>
        </is>
      </c>
      <c r="F196" s="11" t="n">
        <v>3</v>
      </c>
      <c r="G196" s="11" t="inlineStr">
        <is>
          <t>R3-CO01</t>
        </is>
      </c>
      <c r="H196" s="11" t="inlineStr">
        <is>
          <t>DO-8221</t>
        </is>
      </c>
      <c r="I196" s="11" t="n">
        <v>2</v>
      </c>
      <c r="J196" s="11" t="inlineStr">
        <is>
          <t>Pulse</t>
        </is>
      </c>
      <c r="K196" s="11" t="inlineStr">
        <is>
          <t>-</t>
        </is>
      </c>
      <c r="L196" s="11" t="inlineStr">
        <is>
          <t>Operator</t>
        </is>
      </c>
      <c r="M196" s="11" t="inlineStr">
        <is>
          <t>Select then confirm; blocked if earthed</t>
        </is>
      </c>
    </row>
    <row r="197" ht="25.5" customHeight="1">
      <c r="A197" s="11" t="inlineStr">
        <is>
          <t>PRS-RS2-OPEN-CMD</t>
        </is>
      </c>
      <c r="B197" s="11" t="inlineStr">
        <is>
          <t>Open ring switch 2</t>
        </is>
      </c>
      <c r="C197" s="11" t="inlineStr">
        <is>
          <t>President station RMU</t>
        </is>
      </c>
      <c r="D197" s="11" t="inlineStr">
        <is>
          <t>President station</t>
        </is>
      </c>
      <c r="E197" s="11" t="inlineStr">
        <is>
          <t>DO</t>
        </is>
      </c>
      <c r="F197" s="11" t="n">
        <v>3</v>
      </c>
      <c r="G197" s="11" t="inlineStr">
        <is>
          <t>R3-CO01</t>
        </is>
      </c>
      <c r="H197" s="11" t="inlineStr">
        <is>
          <t>DO-8221</t>
        </is>
      </c>
      <c r="I197" s="11" t="n">
        <v>3</v>
      </c>
      <c r="J197" s="11" t="inlineStr">
        <is>
          <t>Pulse</t>
        </is>
      </c>
      <c r="K197" s="11" t="inlineStr">
        <is>
          <t>-</t>
        </is>
      </c>
      <c r="L197" s="11" t="inlineStr">
        <is>
          <t>Operator</t>
        </is>
      </c>
      <c r="M197" s="11" t="inlineStr">
        <is>
          <t>Select then confirm</t>
        </is>
      </c>
    </row>
    <row r="198" ht="25.5" customHeight="1">
      <c r="A198" s="11" t="inlineStr">
        <is>
          <t>PRS-RS2-CLOSE-CMD</t>
        </is>
      </c>
      <c r="B198" s="11" t="inlineStr">
        <is>
          <t>Close ring switch 2</t>
        </is>
      </c>
      <c r="C198" s="11" t="inlineStr">
        <is>
          <t>President station RMU</t>
        </is>
      </c>
      <c r="D198" s="11" t="inlineStr">
        <is>
          <t>President station</t>
        </is>
      </c>
      <c r="E198" s="11" t="inlineStr">
        <is>
          <t>DO</t>
        </is>
      </c>
      <c r="F198" s="11" t="n">
        <v>3</v>
      </c>
      <c r="G198" s="11" t="inlineStr">
        <is>
          <t>R3-CO01</t>
        </is>
      </c>
      <c r="H198" s="11" t="inlineStr">
        <is>
          <t>DO-8221</t>
        </is>
      </c>
      <c r="I198" s="11" t="n">
        <v>4</v>
      </c>
      <c r="J198" s="11" t="inlineStr">
        <is>
          <t>Pulse</t>
        </is>
      </c>
      <c r="K198" s="11" t="inlineStr">
        <is>
          <t>-</t>
        </is>
      </c>
      <c r="L198" s="11" t="inlineStr">
        <is>
          <t>Operator</t>
        </is>
      </c>
      <c r="M198" s="11" t="inlineStr">
        <is>
          <t>Select then confirm; blocked if earthed</t>
        </is>
      </c>
    </row>
    <row r="199" ht="25.5" customHeight="1">
      <c r="A199" s="11" t="inlineStr">
        <is>
          <t>PRS-CB-OPEN-CMD</t>
        </is>
      </c>
      <c r="B199" s="11" t="inlineStr">
        <is>
          <t>Open transformer breaker</t>
        </is>
      </c>
      <c r="C199" s="11" t="inlineStr">
        <is>
          <t>President station RMU</t>
        </is>
      </c>
      <c r="D199" s="11" t="inlineStr">
        <is>
          <t>President station</t>
        </is>
      </c>
      <c r="E199" s="11" t="inlineStr">
        <is>
          <t>DO</t>
        </is>
      </c>
      <c r="F199" s="11" t="n">
        <v>3</v>
      </c>
      <c r="G199" s="11" t="inlineStr">
        <is>
          <t>R3-CO01</t>
        </is>
      </c>
      <c r="H199" s="11" t="inlineStr">
        <is>
          <t>DO-8221</t>
        </is>
      </c>
      <c r="I199" s="11" t="n">
        <v>5</v>
      </c>
      <c r="J199" s="11" t="inlineStr">
        <is>
          <t>Pulse</t>
        </is>
      </c>
      <c r="K199" s="11" t="inlineStr">
        <is>
          <t>-</t>
        </is>
      </c>
      <c r="L199" s="11" t="inlineStr">
        <is>
          <t>Operator</t>
        </is>
      </c>
      <c r="M199" s="11" t="inlineStr">
        <is>
          <t>Select then confirm</t>
        </is>
      </c>
    </row>
    <row r="200" ht="25.5" customHeight="1">
      <c r="A200" s="11" t="inlineStr">
        <is>
          <t>PRS-CB-CLOSE-CMD</t>
        </is>
      </c>
      <c r="B200" s="11" t="inlineStr">
        <is>
          <t>Close transformer breaker</t>
        </is>
      </c>
      <c r="C200" s="11" t="inlineStr">
        <is>
          <t>President station RMU</t>
        </is>
      </c>
      <c r="D200" s="11" t="inlineStr">
        <is>
          <t>President station</t>
        </is>
      </c>
      <c r="E200" s="11" t="inlineStr">
        <is>
          <t>DO</t>
        </is>
      </c>
      <c r="F200" s="11" t="n">
        <v>3</v>
      </c>
      <c r="G200" s="11" t="inlineStr">
        <is>
          <t>R3-CO01</t>
        </is>
      </c>
      <c r="H200" s="11" t="inlineStr">
        <is>
          <t>DO-8221</t>
        </is>
      </c>
      <c r="I200" s="11" t="n">
        <v>6</v>
      </c>
      <c r="J200" s="11" t="inlineStr">
        <is>
          <t>Pulse</t>
        </is>
      </c>
      <c r="K200" s="11" t="inlineStr">
        <is>
          <t>-</t>
        </is>
      </c>
      <c r="L200" s="11" t="inlineStr">
        <is>
          <t>Operator</t>
        </is>
      </c>
      <c r="M200" s="11" t="inlineStr">
        <is>
          <t>Select then confirm; blocked if earthed</t>
        </is>
      </c>
    </row>
    <row r="201" ht="25.5" customHeight="1">
      <c r="A201" s="11" t="inlineStr">
        <is>
          <t>PRS-LV-INC-OPEN-CMD</t>
        </is>
      </c>
      <c r="B201" s="11" t="inlineStr">
        <is>
          <t>Open LV incomer</t>
        </is>
      </c>
      <c r="C201" s="11" t="inlineStr">
        <is>
          <t>President station LVDB</t>
        </is>
      </c>
      <c r="D201" s="11" t="inlineStr">
        <is>
          <t>President station</t>
        </is>
      </c>
      <c r="E201" s="11" t="inlineStr">
        <is>
          <t>DO</t>
        </is>
      </c>
      <c r="F201" s="11" t="n">
        <v>3</v>
      </c>
      <c r="G201" s="11" t="inlineStr">
        <is>
          <t>R3-CO01</t>
        </is>
      </c>
      <c r="H201" s="11" t="inlineStr">
        <is>
          <t>DO-8221</t>
        </is>
      </c>
      <c r="I201" s="11" t="n">
        <v>7</v>
      </c>
      <c r="J201" s="11" t="inlineStr">
        <is>
          <t>Pulse</t>
        </is>
      </c>
      <c r="K201" s="11" t="inlineStr">
        <is>
          <t>-</t>
        </is>
      </c>
      <c r="L201" s="11" t="inlineStr">
        <is>
          <t>Operator</t>
        </is>
      </c>
      <c r="M201" s="11" t="inlineStr">
        <is>
          <t>Select then confirm</t>
        </is>
      </c>
    </row>
    <row r="202" ht="25.5" customHeight="1">
      <c r="A202" s="11" t="inlineStr">
        <is>
          <t>PRS-LV-INC-CLOSE-CMD</t>
        </is>
      </c>
      <c r="B202" s="11" t="inlineStr">
        <is>
          <t>Close LV incomer</t>
        </is>
      </c>
      <c r="C202" s="11" t="inlineStr">
        <is>
          <t>President station LVDB</t>
        </is>
      </c>
      <c r="D202" s="11" t="inlineStr">
        <is>
          <t>President station</t>
        </is>
      </c>
      <c r="E202" s="11" t="inlineStr">
        <is>
          <t>DO</t>
        </is>
      </c>
      <c r="F202" s="11" t="n">
        <v>3</v>
      </c>
      <c r="G202" s="11" t="inlineStr">
        <is>
          <t>R3-CO01</t>
        </is>
      </c>
      <c r="H202" s="11" t="inlineStr">
        <is>
          <t>DO-8221</t>
        </is>
      </c>
      <c r="I202" s="11" t="n">
        <v>8</v>
      </c>
      <c r="J202" s="11" t="inlineStr">
        <is>
          <t>Pulse</t>
        </is>
      </c>
      <c r="K202" s="11" t="inlineStr">
        <is>
          <t>-</t>
        </is>
      </c>
      <c r="L202" s="11" t="inlineStr">
        <is>
          <t>Operator</t>
        </is>
      </c>
      <c r="M202" s="11" t="inlineStr">
        <is>
          <t>Select then confirm</t>
        </is>
      </c>
    </row>
    <row r="203" ht="25.5" customHeight="1">
      <c r="A203" s="11" t="inlineStr">
        <is>
          <t>PMS-RS1-OPEN</t>
        </is>
      </c>
      <c r="B203" s="11" t="inlineStr">
        <is>
          <t>Ring switch 1 open</t>
        </is>
      </c>
      <c r="C203" s="11" t="inlineStr">
        <is>
          <t>Prime Minister station RMU</t>
        </is>
      </c>
      <c r="D203" s="11" t="inlineStr">
        <is>
          <t>Prime Minister station</t>
        </is>
      </c>
      <c r="E203" s="11" t="inlineStr">
        <is>
          <t>DI</t>
        </is>
      </c>
      <c r="F203" s="11" t="n">
        <v>4</v>
      </c>
      <c r="G203" s="11" t="inlineStr">
        <is>
          <t>R4-DI01</t>
        </is>
      </c>
      <c r="H203" s="11" t="inlineStr">
        <is>
          <t>DI-8112</t>
        </is>
      </c>
      <c r="I203" s="11" t="n">
        <v>1</v>
      </c>
      <c r="J203" s="11" t="inlineStr">
        <is>
          <t>Status</t>
        </is>
      </c>
      <c r="K203" s="11" t="inlineStr">
        <is>
          <t>Status</t>
        </is>
      </c>
      <c r="L203" s="11" t="inlineStr">
        <is>
          <t>-</t>
        </is>
      </c>
      <c r="M203" s="11" t="n"/>
    </row>
    <row r="204" ht="25.5" customHeight="1">
      <c r="A204" s="11" t="inlineStr">
        <is>
          <t>PMS-RS1-CLSD</t>
        </is>
      </c>
      <c r="B204" s="11" t="inlineStr">
        <is>
          <t>Ring switch 1 closed</t>
        </is>
      </c>
      <c r="C204" s="11" t="inlineStr">
        <is>
          <t>Prime Minister station RMU</t>
        </is>
      </c>
      <c r="D204" s="11" t="inlineStr">
        <is>
          <t>Prime Minister station</t>
        </is>
      </c>
      <c r="E204" s="11" t="inlineStr">
        <is>
          <t>DI</t>
        </is>
      </c>
      <c r="F204" s="11" t="n">
        <v>4</v>
      </c>
      <c r="G204" s="11" t="inlineStr">
        <is>
          <t>R4-DI01</t>
        </is>
      </c>
      <c r="H204" s="11" t="inlineStr">
        <is>
          <t>DI-8112</t>
        </is>
      </c>
      <c r="I204" s="11" t="n">
        <v>2</v>
      </c>
      <c r="J204" s="11" t="inlineStr">
        <is>
          <t>Status</t>
        </is>
      </c>
      <c r="K204" s="11" t="inlineStr">
        <is>
          <t>Status</t>
        </is>
      </c>
      <c r="L204" s="11" t="inlineStr">
        <is>
          <t>-</t>
        </is>
      </c>
      <c r="M204" s="11" t="n"/>
    </row>
    <row r="205" ht="25.5" customHeight="1">
      <c r="A205" s="11" t="inlineStr">
        <is>
          <t>PMS-RS1-ES</t>
        </is>
      </c>
      <c r="B205" s="11" t="inlineStr">
        <is>
          <t>Ring switch 1 earth switch closed</t>
        </is>
      </c>
      <c r="C205" s="11" t="inlineStr">
        <is>
          <t>Prime Minister station RMU</t>
        </is>
      </c>
      <c r="D205" s="11" t="inlineStr">
        <is>
          <t>Prime Minister station</t>
        </is>
      </c>
      <c r="E205" s="11" t="inlineStr">
        <is>
          <t>DI</t>
        </is>
      </c>
      <c r="F205" s="11" t="n">
        <v>4</v>
      </c>
      <c r="G205" s="11" t="inlineStr">
        <is>
          <t>R4-DI01</t>
        </is>
      </c>
      <c r="H205" s="11" t="inlineStr">
        <is>
          <t>DI-8112</t>
        </is>
      </c>
      <c r="I205" s="11" t="n">
        <v>3</v>
      </c>
      <c r="J205" s="11" t="inlineStr">
        <is>
          <t>Status</t>
        </is>
      </c>
      <c r="K205" s="11" t="inlineStr">
        <is>
          <t>Status</t>
        </is>
      </c>
      <c r="L205" s="11" t="inlineStr">
        <is>
          <t>-</t>
        </is>
      </c>
      <c r="M205" s="11" t="n"/>
    </row>
    <row r="206" ht="25.5" customHeight="1">
      <c r="A206" s="11" t="inlineStr">
        <is>
          <t>PMS-RS2-OPEN</t>
        </is>
      </c>
      <c r="B206" s="11" t="inlineStr">
        <is>
          <t>Ring switch 2 open</t>
        </is>
      </c>
      <c r="C206" s="11" t="inlineStr">
        <is>
          <t>Prime Minister station RMU</t>
        </is>
      </c>
      <c r="D206" s="11" t="inlineStr">
        <is>
          <t>Prime Minister station</t>
        </is>
      </c>
      <c r="E206" s="11" t="inlineStr">
        <is>
          <t>DI</t>
        </is>
      </c>
      <c r="F206" s="11" t="n">
        <v>4</v>
      </c>
      <c r="G206" s="11" t="inlineStr">
        <is>
          <t>R4-DI01</t>
        </is>
      </c>
      <c r="H206" s="11" t="inlineStr">
        <is>
          <t>DI-8112</t>
        </is>
      </c>
      <c r="I206" s="11" t="n">
        <v>4</v>
      </c>
      <c r="J206" s="11" t="inlineStr">
        <is>
          <t>Status</t>
        </is>
      </c>
      <c r="K206" s="11" t="inlineStr">
        <is>
          <t>Status</t>
        </is>
      </c>
      <c r="L206" s="11" t="inlineStr">
        <is>
          <t>-</t>
        </is>
      </c>
      <c r="M206" s="11" t="n"/>
    </row>
    <row r="207" ht="25.5" customHeight="1">
      <c r="A207" s="11" t="inlineStr">
        <is>
          <t>PMS-RS2-CLSD</t>
        </is>
      </c>
      <c r="B207" s="11" t="inlineStr">
        <is>
          <t>Ring switch 2 closed</t>
        </is>
      </c>
      <c r="C207" s="11" t="inlineStr">
        <is>
          <t>Prime Minister station RMU</t>
        </is>
      </c>
      <c r="D207" s="11" t="inlineStr">
        <is>
          <t>Prime Minister station</t>
        </is>
      </c>
      <c r="E207" s="11" t="inlineStr">
        <is>
          <t>DI</t>
        </is>
      </c>
      <c r="F207" s="11" t="n">
        <v>4</v>
      </c>
      <c r="G207" s="11" t="inlineStr">
        <is>
          <t>R4-DI01</t>
        </is>
      </c>
      <c r="H207" s="11" t="inlineStr">
        <is>
          <t>DI-8112</t>
        </is>
      </c>
      <c r="I207" s="11" t="n">
        <v>5</v>
      </c>
      <c r="J207" s="11" t="inlineStr">
        <is>
          <t>Status</t>
        </is>
      </c>
      <c r="K207" s="11" t="inlineStr">
        <is>
          <t>Status</t>
        </is>
      </c>
      <c r="L207" s="11" t="inlineStr">
        <is>
          <t>-</t>
        </is>
      </c>
      <c r="M207" s="11" t="n"/>
    </row>
    <row r="208" ht="25.5" customHeight="1">
      <c r="A208" s="11" t="inlineStr">
        <is>
          <t>PMS-RS2-ES</t>
        </is>
      </c>
      <c r="B208" s="11" t="inlineStr">
        <is>
          <t>Ring switch 2 earth switch closed</t>
        </is>
      </c>
      <c r="C208" s="11" t="inlineStr">
        <is>
          <t>Prime Minister station RMU</t>
        </is>
      </c>
      <c r="D208" s="11" t="inlineStr">
        <is>
          <t>Prime Minister station</t>
        </is>
      </c>
      <c r="E208" s="11" t="inlineStr">
        <is>
          <t>DI</t>
        </is>
      </c>
      <c r="F208" s="11" t="n">
        <v>4</v>
      </c>
      <c r="G208" s="11" t="inlineStr">
        <is>
          <t>R4-DI01</t>
        </is>
      </c>
      <c r="H208" s="11" t="inlineStr">
        <is>
          <t>DI-8112</t>
        </is>
      </c>
      <c r="I208" s="11" t="n">
        <v>6</v>
      </c>
      <c r="J208" s="11" t="inlineStr">
        <is>
          <t>Status</t>
        </is>
      </c>
      <c r="K208" s="11" t="inlineStr">
        <is>
          <t>Status</t>
        </is>
      </c>
      <c r="L208" s="11" t="inlineStr">
        <is>
          <t>-</t>
        </is>
      </c>
      <c r="M208" s="11" t="n"/>
    </row>
    <row r="209" ht="25.5" customHeight="1">
      <c r="A209" s="11" t="inlineStr">
        <is>
          <t>PMS-CB-OPEN</t>
        </is>
      </c>
      <c r="B209" s="11" t="inlineStr">
        <is>
          <t>Transformer breaker open</t>
        </is>
      </c>
      <c r="C209" s="11" t="inlineStr">
        <is>
          <t>Prime Minister station RMU</t>
        </is>
      </c>
      <c r="D209" s="11" t="inlineStr">
        <is>
          <t>Prime Minister station</t>
        </is>
      </c>
      <c r="E209" s="11" t="inlineStr">
        <is>
          <t>DI</t>
        </is>
      </c>
      <c r="F209" s="11" t="n">
        <v>4</v>
      </c>
      <c r="G209" s="11" t="inlineStr">
        <is>
          <t>R4-DI01</t>
        </is>
      </c>
      <c r="H209" s="11" t="inlineStr">
        <is>
          <t>DI-8112</t>
        </is>
      </c>
      <c r="I209" s="11" t="n">
        <v>7</v>
      </c>
      <c r="J209" s="11" t="inlineStr">
        <is>
          <t>Status</t>
        </is>
      </c>
      <c r="K209" s="11" t="inlineStr">
        <is>
          <t>Status</t>
        </is>
      </c>
      <c r="L209" s="11" t="inlineStr">
        <is>
          <t>-</t>
        </is>
      </c>
      <c r="M209" s="11" t="n"/>
    </row>
    <row r="210" ht="25.5" customHeight="1">
      <c r="A210" s="11" t="inlineStr">
        <is>
          <t>PMS-CB-CLSD</t>
        </is>
      </c>
      <c r="B210" s="11" t="inlineStr">
        <is>
          <t>Transformer breaker closed</t>
        </is>
      </c>
      <c r="C210" s="11" t="inlineStr">
        <is>
          <t>Prime Minister station RMU</t>
        </is>
      </c>
      <c r="D210" s="11" t="inlineStr">
        <is>
          <t>Prime Minister station</t>
        </is>
      </c>
      <c r="E210" s="11" t="inlineStr">
        <is>
          <t>DI</t>
        </is>
      </c>
      <c r="F210" s="11" t="n">
        <v>4</v>
      </c>
      <c r="G210" s="11" t="inlineStr">
        <is>
          <t>R4-DI01</t>
        </is>
      </c>
      <c r="H210" s="11" t="inlineStr">
        <is>
          <t>DI-8112</t>
        </is>
      </c>
      <c r="I210" s="11" t="n">
        <v>8</v>
      </c>
      <c r="J210" s="11" t="inlineStr">
        <is>
          <t>Status</t>
        </is>
      </c>
      <c r="K210" s="11" t="inlineStr">
        <is>
          <t>Status</t>
        </is>
      </c>
      <c r="L210" s="11" t="inlineStr">
        <is>
          <t>-</t>
        </is>
      </c>
      <c r="M210" s="11" t="n"/>
    </row>
    <row r="211" ht="25.5" customHeight="1">
      <c r="A211" s="11" t="inlineStr">
        <is>
          <t>PMS-CB-ES</t>
        </is>
      </c>
      <c r="B211" s="11" t="inlineStr">
        <is>
          <t>Transformer breaker earth switch closed</t>
        </is>
      </c>
      <c r="C211" s="11" t="inlineStr">
        <is>
          <t>Prime Minister station RMU</t>
        </is>
      </c>
      <c r="D211" s="11" t="inlineStr">
        <is>
          <t>Prime Minister station</t>
        </is>
      </c>
      <c r="E211" s="11" t="inlineStr">
        <is>
          <t>DI</t>
        </is>
      </c>
      <c r="F211" s="11" t="n">
        <v>4</v>
      </c>
      <c r="G211" s="11" t="inlineStr">
        <is>
          <t>R4-DI01</t>
        </is>
      </c>
      <c r="H211" s="11" t="inlineStr">
        <is>
          <t>DI-8112</t>
        </is>
      </c>
      <c r="I211" s="11" t="n">
        <v>9</v>
      </c>
      <c r="J211" s="11" t="inlineStr">
        <is>
          <t>Status</t>
        </is>
      </c>
      <c r="K211" s="11" t="inlineStr">
        <is>
          <t>Status</t>
        </is>
      </c>
      <c r="L211" s="11" t="inlineStr">
        <is>
          <t>-</t>
        </is>
      </c>
      <c r="M211" s="11" t="n"/>
    </row>
    <row r="212" ht="25.5" customHeight="1">
      <c r="A212" s="11" t="inlineStr">
        <is>
          <t>PMS-CB-TRIP</t>
        </is>
      </c>
      <c r="B212" s="11" t="inlineStr">
        <is>
          <t>Transformer breaker tripped by ST260E</t>
        </is>
      </c>
      <c r="C212" s="11" t="inlineStr">
        <is>
          <t>Prime Minister station RMU</t>
        </is>
      </c>
      <c r="D212" s="11" t="inlineStr">
        <is>
          <t>Prime Minister station</t>
        </is>
      </c>
      <c r="E212" s="11" t="inlineStr">
        <is>
          <t>DI</t>
        </is>
      </c>
      <c r="F212" s="11" t="n">
        <v>4</v>
      </c>
      <c r="G212" s="11" t="inlineStr">
        <is>
          <t>R4-DI01</t>
        </is>
      </c>
      <c r="H212" s="11" t="inlineStr">
        <is>
          <t>DI-8112</t>
        </is>
      </c>
      <c r="I212" s="11" t="n">
        <v>10</v>
      </c>
      <c r="J212" s="11" t="inlineStr">
        <is>
          <t>Normally open</t>
        </is>
      </c>
      <c r="K212" s="11" t="inlineStr">
        <is>
          <t>1</t>
        </is>
      </c>
      <c r="L212" s="11" t="inlineStr">
        <is>
          <t>-</t>
        </is>
      </c>
      <c r="M212" s="11" t="n"/>
    </row>
    <row r="213" ht="25.5" customHeight="1">
      <c r="A213" s="11" t="inlineStr">
        <is>
          <t>PMS-GAS-LOW</t>
        </is>
      </c>
      <c r="B213" s="11" t="inlineStr">
        <is>
          <t>RMU gas pressure low</t>
        </is>
      </c>
      <c r="C213" s="11" t="inlineStr">
        <is>
          <t>Prime Minister station RMU</t>
        </is>
      </c>
      <c r="D213" s="11" t="inlineStr">
        <is>
          <t>Prime Minister station</t>
        </is>
      </c>
      <c r="E213" s="11" t="inlineStr">
        <is>
          <t>DI</t>
        </is>
      </c>
      <c r="F213" s="11" t="n">
        <v>4</v>
      </c>
      <c r="G213" s="11" t="inlineStr">
        <is>
          <t>R4-DI01</t>
        </is>
      </c>
      <c r="H213" s="11" t="inlineStr">
        <is>
          <t>DI-8112</t>
        </is>
      </c>
      <c r="I213" s="11" t="n">
        <v>11</v>
      </c>
      <c r="J213" s="11" t="inlineStr">
        <is>
          <t>Normally open</t>
        </is>
      </c>
      <c r="K213" s="11" t="inlineStr">
        <is>
          <t>2</t>
        </is>
      </c>
      <c r="L213" s="11" t="inlineStr">
        <is>
          <t>-</t>
        </is>
      </c>
      <c r="M213" s="11" t="n"/>
    </row>
    <row r="214" ht="25.5" customHeight="1">
      <c r="A214" s="11" t="inlineStr">
        <is>
          <t>PMS-LR-REM</t>
        </is>
      </c>
      <c r="B214" s="11" t="inlineStr">
        <is>
          <t>RMU local/remote in remote</t>
        </is>
      </c>
      <c r="C214" s="11" t="inlineStr">
        <is>
          <t>Prime Minister station RMU</t>
        </is>
      </c>
      <c r="D214" s="11" t="inlineStr">
        <is>
          <t>Prime Minister station</t>
        </is>
      </c>
      <c r="E214" s="11" t="inlineStr">
        <is>
          <t>DI</t>
        </is>
      </c>
      <c r="F214" s="11" t="n">
        <v>4</v>
      </c>
      <c r="G214" s="11" t="inlineStr">
        <is>
          <t>R4-DI01</t>
        </is>
      </c>
      <c r="H214" s="11" t="inlineStr">
        <is>
          <t>DI-8112</t>
        </is>
      </c>
      <c r="I214" s="11" t="n">
        <v>12</v>
      </c>
      <c r="J214" s="11" t="inlineStr">
        <is>
          <t>Status</t>
        </is>
      </c>
      <c r="K214" s="11" t="inlineStr">
        <is>
          <t>Status</t>
        </is>
      </c>
      <c r="L214" s="11" t="inlineStr">
        <is>
          <t>-</t>
        </is>
      </c>
      <c r="M214" s="11" t="n"/>
    </row>
    <row r="215" ht="25.5" customHeight="1">
      <c r="A215" s="11" t="inlineStr">
        <is>
          <t>PMS-FPI</t>
        </is>
      </c>
      <c r="B215" s="11" t="inlineStr">
        <is>
          <t>Fault passage indicator operated</t>
        </is>
      </c>
      <c r="C215" s="11" t="inlineStr">
        <is>
          <t>Prime Minister station RMU</t>
        </is>
      </c>
      <c r="D215" s="11" t="inlineStr">
        <is>
          <t>Prime Minister station</t>
        </is>
      </c>
      <c r="E215" s="11" t="inlineStr">
        <is>
          <t>DI</t>
        </is>
      </c>
      <c r="F215" s="11" t="n">
        <v>4</v>
      </c>
      <c r="G215" s="11" t="inlineStr">
        <is>
          <t>R4-DI01</t>
        </is>
      </c>
      <c r="H215" s="11" t="inlineStr">
        <is>
          <t>DI-8112</t>
        </is>
      </c>
      <c r="I215" s="11" t="n">
        <v>13</v>
      </c>
      <c r="J215" s="11" t="inlineStr">
        <is>
          <t>Normally open</t>
        </is>
      </c>
      <c r="K215" s="11" t="inlineStr">
        <is>
          <t>2</t>
        </is>
      </c>
      <c r="L215" s="11" t="inlineStr">
        <is>
          <t>-</t>
        </is>
      </c>
      <c r="M215" s="11" t="n"/>
    </row>
    <row r="216" ht="25.5" customHeight="1">
      <c r="A216" s="11" t="inlineStr">
        <is>
          <t>PMS-TX-OT-ALM</t>
        </is>
      </c>
      <c r="B216" s="11" t="inlineStr">
        <is>
          <t>Oil temperature alarm</t>
        </is>
      </c>
      <c r="C216" s="11" t="inlineStr">
        <is>
          <t>Prime Minister station transformer 630 kVA</t>
        </is>
      </c>
      <c r="D216" s="11" t="inlineStr">
        <is>
          <t>Prime Minister station</t>
        </is>
      </c>
      <c r="E216" s="11" t="inlineStr">
        <is>
          <t>DI</t>
        </is>
      </c>
      <c r="F216" s="11" t="n">
        <v>4</v>
      </c>
      <c r="G216" s="11" t="inlineStr">
        <is>
          <t>R4-DI01</t>
        </is>
      </c>
      <c r="H216" s="11" t="inlineStr">
        <is>
          <t>DI-8112</t>
        </is>
      </c>
      <c r="I216" s="11" t="n">
        <v>14</v>
      </c>
      <c r="J216" s="11" t="inlineStr">
        <is>
          <t>Normally open</t>
        </is>
      </c>
      <c r="K216" s="11" t="inlineStr">
        <is>
          <t>3</t>
        </is>
      </c>
      <c r="L216" s="11" t="inlineStr">
        <is>
          <t>-</t>
        </is>
      </c>
      <c r="M216" s="11" t="n"/>
    </row>
    <row r="217" ht="25.5" customHeight="1">
      <c r="A217" s="11" t="inlineStr">
        <is>
          <t>PMS-TX-OT-TRIP</t>
        </is>
      </c>
      <c r="B217" s="11" t="inlineStr">
        <is>
          <t>Oil temperature trip</t>
        </is>
      </c>
      <c r="C217" s="11" t="inlineStr">
        <is>
          <t>Prime Minister station transformer 630 kVA</t>
        </is>
      </c>
      <c r="D217" s="11" t="inlineStr">
        <is>
          <t>Prime Minister station</t>
        </is>
      </c>
      <c r="E217" s="11" t="inlineStr">
        <is>
          <t>DI</t>
        </is>
      </c>
      <c r="F217" s="11" t="n">
        <v>4</v>
      </c>
      <c r="G217" s="11" t="inlineStr">
        <is>
          <t>R4-DI01</t>
        </is>
      </c>
      <c r="H217" s="11" t="inlineStr">
        <is>
          <t>DI-8112</t>
        </is>
      </c>
      <c r="I217" s="11" t="n">
        <v>15</v>
      </c>
      <c r="J217" s="11" t="inlineStr">
        <is>
          <t>Normally open</t>
        </is>
      </c>
      <c r="K217" s="11" t="inlineStr">
        <is>
          <t>1</t>
        </is>
      </c>
      <c r="L217" s="11" t="inlineStr">
        <is>
          <t>-</t>
        </is>
      </c>
      <c r="M217" s="11" t="n"/>
    </row>
    <row r="218" ht="25.5" customHeight="1">
      <c r="A218" s="11" t="inlineStr">
        <is>
          <t>PMS-TX-WT-ALM</t>
        </is>
      </c>
      <c r="B218" s="11" t="inlineStr">
        <is>
          <t>Winding temperature alarm</t>
        </is>
      </c>
      <c r="C218" s="11" t="inlineStr">
        <is>
          <t>Prime Minister station transformer 630 kVA</t>
        </is>
      </c>
      <c r="D218" s="11" t="inlineStr">
        <is>
          <t>Prime Minister station</t>
        </is>
      </c>
      <c r="E218" s="11" t="inlineStr">
        <is>
          <t>DI</t>
        </is>
      </c>
      <c r="F218" s="11" t="n">
        <v>4</v>
      </c>
      <c r="G218" s="11" t="inlineStr">
        <is>
          <t>R4-DI01</t>
        </is>
      </c>
      <c r="H218" s="11" t="inlineStr">
        <is>
          <t>DI-8112</t>
        </is>
      </c>
      <c r="I218" s="11" t="n">
        <v>16</v>
      </c>
      <c r="J218" s="11" t="inlineStr">
        <is>
          <t>Normally open</t>
        </is>
      </c>
      <c r="K218" s="11" t="inlineStr">
        <is>
          <t>3</t>
        </is>
      </c>
      <c r="L218" s="11" t="inlineStr">
        <is>
          <t>-</t>
        </is>
      </c>
      <c r="M218" s="11" t="n"/>
    </row>
    <row r="219" ht="25.5" customHeight="1">
      <c r="A219" s="11" t="inlineStr">
        <is>
          <t>PMS-TX-WT-TRIP</t>
        </is>
      </c>
      <c r="B219" s="11" t="inlineStr">
        <is>
          <t>Winding temperature trip</t>
        </is>
      </c>
      <c r="C219" s="11" t="inlineStr">
        <is>
          <t>Prime Minister station transformer 630 kVA</t>
        </is>
      </c>
      <c r="D219" s="11" t="inlineStr">
        <is>
          <t>Prime Minister station</t>
        </is>
      </c>
      <c r="E219" s="11" t="inlineStr">
        <is>
          <t>DI</t>
        </is>
      </c>
      <c r="F219" s="11" t="n">
        <v>4</v>
      </c>
      <c r="G219" s="11" t="inlineStr">
        <is>
          <t>R4-DI02</t>
        </is>
      </c>
      <c r="H219" s="11" t="inlineStr">
        <is>
          <t>DI-8112</t>
        </is>
      </c>
      <c r="I219" s="11" t="n">
        <v>1</v>
      </c>
      <c r="J219" s="11" t="inlineStr">
        <is>
          <t>Normally open</t>
        </is>
      </c>
      <c r="K219" s="11" t="inlineStr">
        <is>
          <t>1</t>
        </is>
      </c>
      <c r="L219" s="11" t="inlineStr">
        <is>
          <t>-</t>
        </is>
      </c>
      <c r="M219" s="11" t="n"/>
    </row>
    <row r="220" ht="25.5" customHeight="1">
      <c r="A220" s="11" t="inlineStr">
        <is>
          <t>PMS-TX-PRD</t>
        </is>
      </c>
      <c r="B220" s="11" t="inlineStr">
        <is>
          <t>Pressure relief device operated</t>
        </is>
      </c>
      <c r="C220" s="11" t="inlineStr">
        <is>
          <t>Prime Minister station transformer 630 kVA</t>
        </is>
      </c>
      <c r="D220" s="11" t="inlineStr">
        <is>
          <t>Prime Minister station</t>
        </is>
      </c>
      <c r="E220" s="11" t="inlineStr">
        <is>
          <t>DI</t>
        </is>
      </c>
      <c r="F220" s="11" t="n">
        <v>4</v>
      </c>
      <c r="G220" s="11" t="inlineStr">
        <is>
          <t>R4-DI02</t>
        </is>
      </c>
      <c r="H220" s="11" t="inlineStr">
        <is>
          <t>DI-8112</t>
        </is>
      </c>
      <c r="I220" s="11" t="n">
        <v>2</v>
      </c>
      <c r="J220" s="11" t="inlineStr">
        <is>
          <t>Normally open</t>
        </is>
      </c>
      <c r="K220" s="11" t="inlineStr">
        <is>
          <t>1</t>
        </is>
      </c>
      <c r="L220" s="11" t="inlineStr">
        <is>
          <t>-</t>
        </is>
      </c>
      <c r="M220" s="11" t="n"/>
    </row>
    <row r="221" ht="25.5" customHeight="1">
      <c r="A221" s="11" t="inlineStr">
        <is>
          <t>PMS-TX-OL-LOW</t>
        </is>
      </c>
      <c r="B221" s="11" t="inlineStr">
        <is>
          <t>Oil level low</t>
        </is>
      </c>
      <c r="C221" s="11" t="inlineStr">
        <is>
          <t>Prime Minister station transformer 630 kVA</t>
        </is>
      </c>
      <c r="D221" s="11" t="inlineStr">
        <is>
          <t>Prime Minister station</t>
        </is>
      </c>
      <c r="E221" s="11" t="inlineStr">
        <is>
          <t>DI</t>
        </is>
      </c>
      <c r="F221" s="11" t="n">
        <v>4</v>
      </c>
      <c r="G221" s="11" t="inlineStr">
        <is>
          <t>R4-DI02</t>
        </is>
      </c>
      <c r="H221" s="11" t="inlineStr">
        <is>
          <t>DI-8112</t>
        </is>
      </c>
      <c r="I221" s="11" t="n">
        <v>3</v>
      </c>
      <c r="J221" s="11" t="inlineStr">
        <is>
          <t>Normally open</t>
        </is>
      </c>
      <c r="K221" s="11" t="inlineStr">
        <is>
          <t>2</t>
        </is>
      </c>
      <c r="L221" s="11" t="inlineStr">
        <is>
          <t>-</t>
        </is>
      </c>
      <c r="M221" s="11" t="n"/>
    </row>
    <row r="222" ht="25.5" customHeight="1">
      <c r="A222" s="11" t="inlineStr">
        <is>
          <t>PMS-LV-INC-CLSD</t>
        </is>
      </c>
      <c r="B222" s="11" t="inlineStr">
        <is>
          <t>LV incomer closed</t>
        </is>
      </c>
      <c r="C222" s="11" t="inlineStr">
        <is>
          <t>Prime Minister station LVDB</t>
        </is>
      </c>
      <c r="D222" s="11" t="inlineStr">
        <is>
          <t>Prime Minister station</t>
        </is>
      </c>
      <c r="E222" s="11" t="inlineStr">
        <is>
          <t>DI</t>
        </is>
      </c>
      <c r="F222" s="11" t="n">
        <v>4</v>
      </c>
      <c r="G222" s="11" t="inlineStr">
        <is>
          <t>R4-DI02</t>
        </is>
      </c>
      <c r="H222" s="11" t="inlineStr">
        <is>
          <t>DI-8112</t>
        </is>
      </c>
      <c r="I222" s="11" t="n">
        <v>4</v>
      </c>
      <c r="J222" s="11" t="inlineStr">
        <is>
          <t>Status</t>
        </is>
      </c>
      <c r="K222" s="11" t="inlineStr">
        <is>
          <t>Status</t>
        </is>
      </c>
      <c r="L222" s="11" t="inlineStr">
        <is>
          <t>-</t>
        </is>
      </c>
      <c r="M222" s="11" t="n"/>
    </row>
    <row r="223" ht="25.5" customHeight="1">
      <c r="A223" s="11" t="inlineStr">
        <is>
          <t>PMS-LV-INC-TRIP</t>
        </is>
      </c>
      <c r="B223" s="11" t="inlineStr">
        <is>
          <t>LV incomer tripped</t>
        </is>
      </c>
      <c r="C223" s="11" t="inlineStr">
        <is>
          <t>Prime Minister station LVDB</t>
        </is>
      </c>
      <c r="D223" s="11" t="inlineStr">
        <is>
          <t>Prime Minister station</t>
        </is>
      </c>
      <c r="E223" s="11" t="inlineStr">
        <is>
          <t>DI</t>
        </is>
      </c>
      <c r="F223" s="11" t="n">
        <v>4</v>
      </c>
      <c r="G223" s="11" t="inlineStr">
        <is>
          <t>R4-DI02</t>
        </is>
      </c>
      <c r="H223" s="11" t="inlineStr">
        <is>
          <t>DI-8112</t>
        </is>
      </c>
      <c r="I223" s="11" t="n">
        <v>5</v>
      </c>
      <c r="J223" s="11" t="inlineStr">
        <is>
          <t>Normally open</t>
        </is>
      </c>
      <c r="K223" s="11" t="inlineStr">
        <is>
          <t>2</t>
        </is>
      </c>
      <c r="L223" s="11" t="inlineStr">
        <is>
          <t>-</t>
        </is>
      </c>
      <c r="M223" s="11" t="n"/>
    </row>
    <row r="224" ht="25.5" customHeight="1">
      <c r="A224" s="11" t="inlineStr">
        <is>
          <t>PMS-LV-F01-CLSD</t>
        </is>
      </c>
      <c r="B224" s="11" t="inlineStr">
        <is>
          <t>Outgoing way 1 closed</t>
        </is>
      </c>
      <c r="C224" s="11" t="inlineStr">
        <is>
          <t>Prime Minister station LVDB</t>
        </is>
      </c>
      <c r="D224" s="11" t="inlineStr">
        <is>
          <t>Prime Minister station</t>
        </is>
      </c>
      <c r="E224" s="11" t="inlineStr">
        <is>
          <t>DI</t>
        </is>
      </c>
      <c r="F224" s="11" t="n">
        <v>4</v>
      </c>
      <c r="G224" s="11" t="inlineStr">
        <is>
          <t>R4-DI02</t>
        </is>
      </c>
      <c r="H224" s="11" t="inlineStr">
        <is>
          <t>DI-8112</t>
        </is>
      </c>
      <c r="I224" s="11" t="n">
        <v>6</v>
      </c>
      <c r="J224" s="11" t="inlineStr">
        <is>
          <t>Status</t>
        </is>
      </c>
      <c r="K224" s="11" t="inlineStr">
        <is>
          <t>Status</t>
        </is>
      </c>
      <c r="L224" s="11" t="inlineStr">
        <is>
          <t>-</t>
        </is>
      </c>
      <c r="M224" s="11" t="n"/>
    </row>
    <row r="225" ht="25.5" customHeight="1">
      <c r="A225" s="11" t="inlineStr">
        <is>
          <t>PMS-LV-F02-CLSD</t>
        </is>
      </c>
      <c r="B225" s="11" t="inlineStr">
        <is>
          <t>Outgoing way 2 closed</t>
        </is>
      </c>
      <c r="C225" s="11" t="inlineStr">
        <is>
          <t>Prime Minister station LVDB</t>
        </is>
      </c>
      <c r="D225" s="11" t="inlineStr">
        <is>
          <t>Prime Minister station</t>
        </is>
      </c>
      <c r="E225" s="11" t="inlineStr">
        <is>
          <t>DI</t>
        </is>
      </c>
      <c r="F225" s="11" t="n">
        <v>4</v>
      </c>
      <c r="G225" s="11" t="inlineStr">
        <is>
          <t>R4-DI02</t>
        </is>
      </c>
      <c r="H225" s="11" t="inlineStr">
        <is>
          <t>DI-8112</t>
        </is>
      </c>
      <c r="I225" s="11" t="n">
        <v>7</v>
      </c>
      <c r="J225" s="11" t="inlineStr">
        <is>
          <t>Status</t>
        </is>
      </c>
      <c r="K225" s="11" t="inlineStr">
        <is>
          <t>Status</t>
        </is>
      </c>
      <c r="L225" s="11" t="inlineStr">
        <is>
          <t>-</t>
        </is>
      </c>
      <c r="M225" s="11" t="n"/>
    </row>
    <row r="226">
      <c r="A226" s="11" t="inlineStr">
        <is>
          <t>PMS-LV-F03-CLSD</t>
        </is>
      </c>
      <c r="B226" s="11" t="inlineStr">
        <is>
          <t>Outgoing way 3 closed</t>
        </is>
      </c>
      <c r="C226" s="11" t="inlineStr">
        <is>
          <t>Prime Minister station LVDB</t>
        </is>
      </c>
      <c r="D226" s="11" t="inlineStr">
        <is>
          <t>Prime Minister station</t>
        </is>
      </c>
      <c r="E226" s="11" t="inlineStr">
        <is>
          <t>DI</t>
        </is>
      </c>
      <c r="F226" s="11" t="n">
        <v>4</v>
      </c>
      <c r="G226" s="11" t="inlineStr">
        <is>
          <t>R4-DI02</t>
        </is>
      </c>
      <c r="H226" s="11" t="inlineStr">
        <is>
          <t>DI-8112</t>
        </is>
      </c>
      <c r="I226" s="11" t="n">
        <v>8</v>
      </c>
      <c r="J226" s="11" t="inlineStr">
        <is>
          <t>Status</t>
        </is>
      </c>
      <c r="K226" s="11" t="inlineStr">
        <is>
          <t>Status</t>
        </is>
      </c>
      <c r="L226" s="11" t="inlineStr">
        <is>
          <t>-</t>
        </is>
      </c>
      <c r="M226" s="11" t="n"/>
    </row>
    <row r="227">
      <c r="A227" s="11" t="inlineStr">
        <is>
          <t>PMS-LV-F04-CLSD</t>
        </is>
      </c>
      <c r="B227" s="11" t="inlineStr">
        <is>
          <t>Outgoing way 4 closed</t>
        </is>
      </c>
      <c r="C227" s="11" t="inlineStr">
        <is>
          <t>Prime Minister station LVDB</t>
        </is>
      </c>
      <c r="D227" s="11" t="inlineStr">
        <is>
          <t>Prime Minister station</t>
        </is>
      </c>
      <c r="E227" s="11" t="inlineStr">
        <is>
          <t>DI</t>
        </is>
      </c>
      <c r="F227" s="11" t="n">
        <v>4</v>
      </c>
      <c r="G227" s="11" t="inlineStr">
        <is>
          <t>R4-DI02</t>
        </is>
      </c>
      <c r="H227" s="11" t="inlineStr">
        <is>
          <t>DI-8112</t>
        </is>
      </c>
      <c r="I227" s="11" t="n">
        <v>9</v>
      </c>
      <c r="J227" s="11" t="inlineStr">
        <is>
          <t>Status</t>
        </is>
      </c>
      <c r="K227" s="11" t="inlineStr">
        <is>
          <t>Status</t>
        </is>
      </c>
      <c r="L227" s="11" t="inlineStr">
        <is>
          <t>-</t>
        </is>
      </c>
      <c r="M227" s="11" t="n"/>
    </row>
    <row r="228">
      <c r="A228" s="11" t="inlineStr">
        <is>
          <t>PMS-LV-F05-CLSD</t>
        </is>
      </c>
      <c r="B228" s="11" t="inlineStr">
        <is>
          <t>Outgoing way 5 closed</t>
        </is>
      </c>
      <c r="C228" s="11" t="inlineStr">
        <is>
          <t>Prime Minister station LVDB</t>
        </is>
      </c>
      <c r="D228" s="11" t="inlineStr">
        <is>
          <t>Prime Minister station</t>
        </is>
      </c>
      <c r="E228" s="11" t="inlineStr">
        <is>
          <t>DI</t>
        </is>
      </c>
      <c r="F228" s="11" t="n">
        <v>4</v>
      </c>
      <c r="G228" s="11" t="inlineStr">
        <is>
          <t>R4-DI02</t>
        </is>
      </c>
      <c r="H228" s="11" t="inlineStr">
        <is>
          <t>DI-8112</t>
        </is>
      </c>
      <c r="I228" s="11" t="n">
        <v>10</v>
      </c>
      <c r="J228" s="11" t="inlineStr">
        <is>
          <t>Status</t>
        </is>
      </c>
      <c r="K228" s="11" t="inlineStr">
        <is>
          <t>Status</t>
        </is>
      </c>
      <c r="L228" s="11" t="inlineStr">
        <is>
          <t>-</t>
        </is>
      </c>
      <c r="M228" s="11" t="n"/>
    </row>
    <row r="229">
      <c r="A229" s="11" t="inlineStr">
        <is>
          <t>PMS-LV-F06-CLSD</t>
        </is>
      </c>
      <c r="B229" s="11" t="inlineStr">
        <is>
          <t>Outgoing way 6 closed</t>
        </is>
      </c>
      <c r="C229" s="11" t="inlineStr">
        <is>
          <t>Prime Minister station LVDB</t>
        </is>
      </c>
      <c r="D229" s="11" t="inlineStr">
        <is>
          <t>Prime Minister station</t>
        </is>
      </c>
      <c r="E229" s="11" t="inlineStr">
        <is>
          <t>DI</t>
        </is>
      </c>
      <c r="F229" s="11" t="n">
        <v>4</v>
      </c>
      <c r="G229" s="11" t="inlineStr">
        <is>
          <t>R4-DI02</t>
        </is>
      </c>
      <c r="H229" s="11" t="inlineStr">
        <is>
          <t>DI-8112</t>
        </is>
      </c>
      <c r="I229" s="11" t="n">
        <v>11</v>
      </c>
      <c r="J229" s="11" t="inlineStr">
        <is>
          <t>Status</t>
        </is>
      </c>
      <c r="K229" s="11" t="inlineStr">
        <is>
          <t>Status</t>
        </is>
      </c>
      <c r="L229" s="11" t="inlineStr">
        <is>
          <t>-</t>
        </is>
      </c>
      <c r="M229" s="11" t="n"/>
    </row>
    <row r="230">
      <c r="A230" s="11" t="inlineStr">
        <is>
          <t>PMS-LV-F07-CLSD</t>
        </is>
      </c>
      <c r="B230" s="11" t="inlineStr">
        <is>
          <t>Outgoing way 7 closed</t>
        </is>
      </c>
      <c r="C230" s="11" t="inlineStr">
        <is>
          <t>Prime Minister station LVDB</t>
        </is>
      </c>
      <c r="D230" s="11" t="inlineStr">
        <is>
          <t>Prime Minister station</t>
        </is>
      </c>
      <c r="E230" s="11" t="inlineStr">
        <is>
          <t>DI</t>
        </is>
      </c>
      <c r="F230" s="11" t="n">
        <v>4</v>
      </c>
      <c r="G230" s="11" t="inlineStr">
        <is>
          <t>R4-DI02</t>
        </is>
      </c>
      <c r="H230" s="11" t="inlineStr">
        <is>
          <t>DI-8112</t>
        </is>
      </c>
      <c r="I230" s="11" t="n">
        <v>12</v>
      </c>
      <c r="J230" s="11" t="inlineStr">
        <is>
          <t>Status</t>
        </is>
      </c>
      <c r="K230" s="11" t="inlineStr">
        <is>
          <t>Status</t>
        </is>
      </c>
      <c r="L230" s="11" t="inlineStr">
        <is>
          <t>-</t>
        </is>
      </c>
      <c r="M230" s="11" t="n"/>
    </row>
    <row r="231">
      <c r="A231" s="11" t="inlineStr">
        <is>
          <t>PMS-LV-F08-CLSD</t>
        </is>
      </c>
      <c r="B231" s="11" t="inlineStr">
        <is>
          <t>Outgoing way 8 closed</t>
        </is>
      </c>
      <c r="C231" s="11" t="inlineStr">
        <is>
          <t>Prime Minister station LVDB</t>
        </is>
      </c>
      <c r="D231" s="11" t="inlineStr">
        <is>
          <t>Prime Minister station</t>
        </is>
      </c>
      <c r="E231" s="11" t="inlineStr">
        <is>
          <t>DI</t>
        </is>
      </c>
      <c r="F231" s="11" t="n">
        <v>4</v>
      </c>
      <c r="G231" s="11" t="inlineStr">
        <is>
          <t>R4-DI02</t>
        </is>
      </c>
      <c r="H231" s="11" t="inlineStr">
        <is>
          <t>DI-8112</t>
        </is>
      </c>
      <c r="I231" s="11" t="n">
        <v>13</v>
      </c>
      <c r="J231" s="11" t="inlineStr">
        <is>
          <t>Status</t>
        </is>
      </c>
      <c r="K231" s="11" t="inlineStr">
        <is>
          <t>Status</t>
        </is>
      </c>
      <c r="L231" s="11" t="inlineStr">
        <is>
          <t>-</t>
        </is>
      </c>
      <c r="M231" s="11" t="n"/>
    </row>
    <row r="232">
      <c r="A232" s="11" t="inlineStr">
        <is>
          <t>PMS-LV-F09-CLSD</t>
        </is>
      </c>
      <c r="B232" s="11" t="inlineStr">
        <is>
          <t>Outgoing way 9 closed</t>
        </is>
      </c>
      <c r="C232" s="11" t="inlineStr">
        <is>
          <t>Prime Minister station LVDB</t>
        </is>
      </c>
      <c r="D232" s="11" t="inlineStr">
        <is>
          <t>Prime Minister station</t>
        </is>
      </c>
      <c r="E232" s="11" t="inlineStr">
        <is>
          <t>DI</t>
        </is>
      </c>
      <c r="F232" s="11" t="n">
        <v>4</v>
      </c>
      <c r="G232" s="11" t="inlineStr">
        <is>
          <t>R4-DI02</t>
        </is>
      </c>
      <c r="H232" s="11" t="inlineStr">
        <is>
          <t>DI-8112</t>
        </is>
      </c>
      <c r="I232" s="11" t="n">
        <v>14</v>
      </c>
      <c r="J232" s="11" t="inlineStr">
        <is>
          <t>Status</t>
        </is>
      </c>
      <c r="K232" s="11" t="inlineStr">
        <is>
          <t>Status</t>
        </is>
      </c>
      <c r="L232" s="11" t="inlineStr">
        <is>
          <t>-</t>
        </is>
      </c>
      <c r="M232" s="11" t="n"/>
    </row>
    <row r="233">
      <c r="A233" s="11" t="inlineStr">
        <is>
          <t>PMS-LV-F10-CLSD</t>
        </is>
      </c>
      <c r="B233" s="11" t="inlineStr">
        <is>
          <t>Outgoing way 10 closed</t>
        </is>
      </c>
      <c r="C233" s="11" t="inlineStr">
        <is>
          <t>Prime Minister station LVDB</t>
        </is>
      </c>
      <c r="D233" s="11" t="inlineStr">
        <is>
          <t>Prime Minister station</t>
        </is>
      </c>
      <c r="E233" s="11" t="inlineStr">
        <is>
          <t>DI</t>
        </is>
      </c>
      <c r="F233" s="11" t="n">
        <v>4</v>
      </c>
      <c r="G233" s="11" t="inlineStr">
        <is>
          <t>R4-DI02</t>
        </is>
      </c>
      <c r="H233" s="11" t="inlineStr">
        <is>
          <t>DI-8112</t>
        </is>
      </c>
      <c r="I233" s="11" t="n">
        <v>15</v>
      </c>
      <c r="J233" s="11" t="inlineStr">
        <is>
          <t>Status</t>
        </is>
      </c>
      <c r="K233" s="11" t="inlineStr">
        <is>
          <t>Status</t>
        </is>
      </c>
      <c r="L233" s="11" t="inlineStr">
        <is>
          <t>-</t>
        </is>
      </c>
      <c r="M233" s="11" t="n"/>
    </row>
    <row r="234">
      <c r="A234" s="11" t="inlineStr">
        <is>
          <t>PMS-LV-SPD-FLT</t>
        </is>
      </c>
      <c r="B234" s="11" t="inlineStr">
        <is>
          <t>Surge arrester failed</t>
        </is>
      </c>
      <c r="C234" s="11" t="inlineStr">
        <is>
          <t>Prime Minister station LVDB</t>
        </is>
      </c>
      <c r="D234" s="11" t="inlineStr">
        <is>
          <t>Prime Minister station</t>
        </is>
      </c>
      <c r="E234" s="11" t="inlineStr">
        <is>
          <t>DI</t>
        </is>
      </c>
      <c r="F234" s="11" t="n">
        <v>4</v>
      </c>
      <c r="G234" s="11" t="inlineStr">
        <is>
          <t>R4-DI02</t>
        </is>
      </c>
      <c r="H234" s="11" t="inlineStr">
        <is>
          <t>DI-8112</t>
        </is>
      </c>
      <c r="I234" s="11" t="n">
        <v>16</v>
      </c>
      <c r="J234" s="11" t="inlineStr">
        <is>
          <t>Normally open</t>
        </is>
      </c>
      <c r="K234" s="11" t="inlineStr">
        <is>
          <t>3</t>
        </is>
      </c>
      <c r="L234" s="11" t="inlineStr">
        <is>
          <t>-</t>
        </is>
      </c>
      <c r="M234" s="11" t="n"/>
    </row>
    <row r="235">
      <c r="A235" s="11" t="inlineStr">
        <is>
          <t>PMS-PNL-SUP-OK</t>
        </is>
      </c>
      <c r="B235" s="11" t="inlineStr">
        <is>
          <t>I/O panel supply healthy</t>
        </is>
      </c>
      <c r="C235" s="11" t="inlineStr">
        <is>
          <t>Prime Minister station LVDB</t>
        </is>
      </c>
      <c r="D235" s="11" t="inlineStr">
        <is>
          <t>Prime Minister station</t>
        </is>
      </c>
      <c r="E235" s="11" t="inlineStr">
        <is>
          <t>DI</t>
        </is>
      </c>
      <c r="F235" s="11" t="n">
        <v>4</v>
      </c>
      <c r="G235" s="11" t="inlineStr">
        <is>
          <t>R4-DI03</t>
        </is>
      </c>
      <c r="H235" s="11" t="inlineStr">
        <is>
          <t>DI-8112</t>
        </is>
      </c>
      <c r="I235" s="11" t="n">
        <v>1</v>
      </c>
      <c r="J235" s="11" t="inlineStr">
        <is>
          <t>Normally closed</t>
        </is>
      </c>
      <c r="K235" s="11" t="inlineStr">
        <is>
          <t>2</t>
        </is>
      </c>
      <c r="L235" s="11" t="inlineStr">
        <is>
          <t>-</t>
        </is>
      </c>
      <c r="M235" s="11" t="n"/>
    </row>
    <row r="236">
      <c r="A236" s="11" t="inlineStr">
        <is>
          <t>PMS-UPS-ON-BATT</t>
        </is>
      </c>
      <c r="B236" s="11" t="inlineStr">
        <is>
          <t>RMU UPS 2 kVA on battery</t>
        </is>
      </c>
      <c r="C236" s="11" t="inlineStr">
        <is>
          <t>Prime Minister station RMU</t>
        </is>
      </c>
      <c r="D236" s="11" t="inlineStr">
        <is>
          <t>Prime Minister station</t>
        </is>
      </c>
      <c r="E236" s="11" t="inlineStr">
        <is>
          <t>DI</t>
        </is>
      </c>
      <c r="F236" s="11" t="n">
        <v>4</v>
      </c>
      <c r="G236" s="11" t="inlineStr">
        <is>
          <t>R4-DI03</t>
        </is>
      </c>
      <c r="H236" s="11" t="inlineStr">
        <is>
          <t>DI-8112</t>
        </is>
      </c>
      <c r="I236" s="11" t="n">
        <v>2</v>
      </c>
      <c r="J236" s="11" t="inlineStr">
        <is>
          <t>Normally open</t>
        </is>
      </c>
      <c r="K236" s="11" t="inlineStr">
        <is>
          <t>2</t>
        </is>
      </c>
      <c r="L236" s="11" t="inlineStr">
        <is>
          <t>-</t>
        </is>
      </c>
      <c r="M236" s="11" t="inlineStr">
        <is>
          <t>Added rev 1. UPS shown on the transformer stations drawing</t>
        </is>
      </c>
    </row>
    <row r="237">
      <c r="A237" s="11" t="inlineStr">
        <is>
          <t>PMS-UPS-FLT</t>
        </is>
      </c>
      <c r="B237" s="11" t="inlineStr">
        <is>
          <t>RMU UPS 2 kVA fault</t>
        </is>
      </c>
      <c r="C237" s="11" t="inlineStr">
        <is>
          <t>Prime Minister station RMU</t>
        </is>
      </c>
      <c r="D237" s="11" t="inlineStr">
        <is>
          <t>Prime Minister station</t>
        </is>
      </c>
      <c r="E237" s="11" t="inlineStr">
        <is>
          <t>DI</t>
        </is>
      </c>
      <c r="F237" s="11" t="n">
        <v>4</v>
      </c>
      <c r="G237" s="11" t="inlineStr">
        <is>
          <t>R4-DI03</t>
        </is>
      </c>
      <c r="H237" s="11" t="inlineStr">
        <is>
          <t>DI-8112</t>
        </is>
      </c>
      <c r="I237" s="11" t="n">
        <v>3</v>
      </c>
      <c r="J237" s="11" t="inlineStr">
        <is>
          <t>Normally open</t>
        </is>
      </c>
      <c r="K237" s="11" t="inlineStr">
        <is>
          <t>2</t>
        </is>
      </c>
      <c r="L237" s="11" t="inlineStr">
        <is>
          <t>-</t>
        </is>
      </c>
      <c r="M237" s="11" t="inlineStr">
        <is>
          <t>Added rev 1</t>
        </is>
      </c>
    </row>
    <row r="238">
      <c r="A238" s="11" t="inlineStr">
        <is>
          <t>PMS-RS1-OPEN-CMD</t>
        </is>
      </c>
      <c r="B238" s="11" t="inlineStr">
        <is>
          <t>Open ring switch 1</t>
        </is>
      </c>
      <c r="C238" s="11" t="inlineStr">
        <is>
          <t>Prime Minister station RMU</t>
        </is>
      </c>
      <c r="D238" s="11" t="inlineStr">
        <is>
          <t>Prime Minister station</t>
        </is>
      </c>
      <c r="E238" s="11" t="inlineStr">
        <is>
          <t>DO</t>
        </is>
      </c>
      <c r="F238" s="11" t="n">
        <v>4</v>
      </c>
      <c r="G238" s="11" t="inlineStr">
        <is>
          <t>R4-CO01</t>
        </is>
      </c>
      <c r="H238" s="11" t="inlineStr">
        <is>
          <t>DO-8221</t>
        </is>
      </c>
      <c r="I238" s="11" t="n">
        <v>1</v>
      </c>
      <c r="J238" s="11" t="inlineStr">
        <is>
          <t>Pulse</t>
        </is>
      </c>
      <c r="K238" s="11" t="inlineStr">
        <is>
          <t>-</t>
        </is>
      </c>
      <c r="L238" s="11" t="inlineStr">
        <is>
          <t>Operator</t>
        </is>
      </c>
      <c r="M238" s="11" t="inlineStr">
        <is>
          <t>Select then confirm</t>
        </is>
      </c>
    </row>
    <row r="239">
      <c r="A239" s="11" t="inlineStr">
        <is>
          <t>PMS-RS1-CLOSE-CMD</t>
        </is>
      </c>
      <c r="B239" s="11" t="inlineStr">
        <is>
          <t>Close ring switch 1</t>
        </is>
      </c>
      <c r="C239" s="11" t="inlineStr">
        <is>
          <t>Prime Minister station RMU</t>
        </is>
      </c>
      <c r="D239" s="11" t="inlineStr">
        <is>
          <t>Prime Minister station</t>
        </is>
      </c>
      <c r="E239" s="11" t="inlineStr">
        <is>
          <t>DO</t>
        </is>
      </c>
      <c r="F239" s="11" t="n">
        <v>4</v>
      </c>
      <c r="G239" s="11" t="inlineStr">
        <is>
          <t>R4-CO01</t>
        </is>
      </c>
      <c r="H239" s="11" t="inlineStr">
        <is>
          <t>DO-8221</t>
        </is>
      </c>
      <c r="I239" s="11" t="n">
        <v>2</v>
      </c>
      <c r="J239" s="11" t="inlineStr">
        <is>
          <t>Pulse</t>
        </is>
      </c>
      <c r="K239" s="11" t="inlineStr">
        <is>
          <t>-</t>
        </is>
      </c>
      <c r="L239" s="11" t="inlineStr">
        <is>
          <t>Operator</t>
        </is>
      </c>
      <c r="M239" s="11" t="inlineStr">
        <is>
          <t>Select then confirm; blocked if earthed</t>
        </is>
      </c>
    </row>
    <row r="240">
      <c r="A240" s="11" t="inlineStr">
        <is>
          <t>PMS-RS2-OPEN-CMD</t>
        </is>
      </c>
      <c r="B240" s="11" t="inlineStr">
        <is>
          <t>Open ring switch 2</t>
        </is>
      </c>
      <c r="C240" s="11" t="inlineStr">
        <is>
          <t>Prime Minister station RMU</t>
        </is>
      </c>
      <c r="D240" s="11" t="inlineStr">
        <is>
          <t>Prime Minister station</t>
        </is>
      </c>
      <c r="E240" s="11" t="inlineStr">
        <is>
          <t>DO</t>
        </is>
      </c>
      <c r="F240" s="11" t="n">
        <v>4</v>
      </c>
      <c r="G240" s="11" t="inlineStr">
        <is>
          <t>R4-CO01</t>
        </is>
      </c>
      <c r="H240" s="11" t="inlineStr">
        <is>
          <t>DO-8221</t>
        </is>
      </c>
      <c r="I240" s="11" t="n">
        <v>3</v>
      </c>
      <c r="J240" s="11" t="inlineStr">
        <is>
          <t>Pulse</t>
        </is>
      </c>
      <c r="K240" s="11" t="inlineStr">
        <is>
          <t>-</t>
        </is>
      </c>
      <c r="L240" s="11" t="inlineStr">
        <is>
          <t>Operator</t>
        </is>
      </c>
      <c r="M240" s="11" t="inlineStr">
        <is>
          <t>Select then confirm</t>
        </is>
      </c>
    </row>
    <row r="241">
      <c r="A241" s="11" t="inlineStr">
        <is>
          <t>PMS-RS2-CLOSE-CMD</t>
        </is>
      </c>
      <c r="B241" s="11" t="inlineStr">
        <is>
          <t>Close ring switch 2</t>
        </is>
      </c>
      <c r="C241" s="11" t="inlineStr">
        <is>
          <t>Prime Minister station RMU</t>
        </is>
      </c>
      <c r="D241" s="11" t="inlineStr">
        <is>
          <t>Prime Minister station</t>
        </is>
      </c>
      <c r="E241" s="11" t="inlineStr">
        <is>
          <t>DO</t>
        </is>
      </c>
      <c r="F241" s="11" t="n">
        <v>4</v>
      </c>
      <c r="G241" s="11" t="inlineStr">
        <is>
          <t>R4-CO01</t>
        </is>
      </c>
      <c r="H241" s="11" t="inlineStr">
        <is>
          <t>DO-8221</t>
        </is>
      </c>
      <c r="I241" s="11" t="n">
        <v>4</v>
      </c>
      <c r="J241" s="11" t="inlineStr">
        <is>
          <t>Pulse</t>
        </is>
      </c>
      <c r="K241" s="11" t="inlineStr">
        <is>
          <t>-</t>
        </is>
      </c>
      <c r="L241" s="11" t="inlineStr">
        <is>
          <t>Operator</t>
        </is>
      </c>
      <c r="M241" s="11" t="inlineStr">
        <is>
          <t>Select then confirm; blocked if earthed</t>
        </is>
      </c>
    </row>
    <row r="242">
      <c r="A242" s="11" t="inlineStr">
        <is>
          <t>PMS-CB-OPEN-CMD</t>
        </is>
      </c>
      <c r="B242" s="11" t="inlineStr">
        <is>
          <t>Open transformer breaker</t>
        </is>
      </c>
      <c r="C242" s="11" t="inlineStr">
        <is>
          <t>Prime Minister station RMU</t>
        </is>
      </c>
      <c r="D242" s="11" t="inlineStr">
        <is>
          <t>Prime Minister station</t>
        </is>
      </c>
      <c r="E242" s="11" t="inlineStr">
        <is>
          <t>DO</t>
        </is>
      </c>
      <c r="F242" s="11" t="n">
        <v>4</v>
      </c>
      <c r="G242" s="11" t="inlineStr">
        <is>
          <t>R4-CO01</t>
        </is>
      </c>
      <c r="H242" s="11" t="inlineStr">
        <is>
          <t>DO-8221</t>
        </is>
      </c>
      <c r="I242" s="11" t="n">
        <v>5</v>
      </c>
      <c r="J242" s="11" t="inlineStr">
        <is>
          <t>Pulse</t>
        </is>
      </c>
      <c r="K242" s="11" t="inlineStr">
        <is>
          <t>-</t>
        </is>
      </c>
      <c r="L242" s="11" t="inlineStr">
        <is>
          <t>Operator</t>
        </is>
      </c>
      <c r="M242" s="11" t="inlineStr">
        <is>
          <t>Select then confirm</t>
        </is>
      </c>
    </row>
    <row r="243">
      <c r="A243" s="11" t="inlineStr">
        <is>
          <t>PMS-CB-CLOSE-CMD</t>
        </is>
      </c>
      <c r="B243" s="11" t="inlineStr">
        <is>
          <t>Close transformer breaker</t>
        </is>
      </c>
      <c r="C243" s="11" t="inlineStr">
        <is>
          <t>Prime Minister station RMU</t>
        </is>
      </c>
      <c r="D243" s="11" t="inlineStr">
        <is>
          <t>Prime Minister station</t>
        </is>
      </c>
      <c r="E243" s="11" t="inlineStr">
        <is>
          <t>DO</t>
        </is>
      </c>
      <c r="F243" s="11" t="n">
        <v>4</v>
      </c>
      <c r="G243" s="11" t="inlineStr">
        <is>
          <t>R4-CO01</t>
        </is>
      </c>
      <c r="H243" s="11" t="inlineStr">
        <is>
          <t>DO-8221</t>
        </is>
      </c>
      <c r="I243" s="11" t="n">
        <v>6</v>
      </c>
      <c r="J243" s="11" t="inlineStr">
        <is>
          <t>Pulse</t>
        </is>
      </c>
      <c r="K243" s="11" t="inlineStr">
        <is>
          <t>-</t>
        </is>
      </c>
      <c r="L243" s="11" t="inlineStr">
        <is>
          <t>Operator</t>
        </is>
      </c>
      <c r="M243" s="11" t="inlineStr">
        <is>
          <t>Select then confirm; blocked if earthed</t>
        </is>
      </c>
    </row>
    <row r="244">
      <c r="A244" s="11" t="inlineStr">
        <is>
          <t>PMS-LV-INC-OPEN-CMD</t>
        </is>
      </c>
      <c r="B244" s="11" t="inlineStr">
        <is>
          <t>Open LV incomer</t>
        </is>
      </c>
      <c r="C244" s="11" t="inlineStr">
        <is>
          <t>Prime Minister station LVDB</t>
        </is>
      </c>
      <c r="D244" s="11" t="inlineStr">
        <is>
          <t>Prime Minister station</t>
        </is>
      </c>
      <c r="E244" s="11" t="inlineStr">
        <is>
          <t>DO</t>
        </is>
      </c>
      <c r="F244" s="11" t="n">
        <v>4</v>
      </c>
      <c r="G244" s="11" t="inlineStr">
        <is>
          <t>R4-CO01</t>
        </is>
      </c>
      <c r="H244" s="11" t="inlineStr">
        <is>
          <t>DO-8221</t>
        </is>
      </c>
      <c r="I244" s="11" t="n">
        <v>7</v>
      </c>
      <c r="J244" s="11" t="inlineStr">
        <is>
          <t>Pulse</t>
        </is>
      </c>
      <c r="K244" s="11" t="inlineStr">
        <is>
          <t>-</t>
        </is>
      </c>
      <c r="L244" s="11" t="inlineStr">
        <is>
          <t>Operator</t>
        </is>
      </c>
      <c r="M244" s="11" t="inlineStr">
        <is>
          <t>Select then confirm</t>
        </is>
      </c>
    </row>
    <row r="245">
      <c r="A245" s="11" t="inlineStr">
        <is>
          <t>PMS-LV-INC-CLOSE-CMD</t>
        </is>
      </c>
      <c r="B245" s="11" t="inlineStr">
        <is>
          <t>Close LV incomer</t>
        </is>
      </c>
      <c r="C245" s="11" t="inlineStr">
        <is>
          <t>Prime Minister station LVDB</t>
        </is>
      </c>
      <c r="D245" s="11" t="inlineStr">
        <is>
          <t>Prime Minister station</t>
        </is>
      </c>
      <c r="E245" s="11" t="inlineStr">
        <is>
          <t>DO</t>
        </is>
      </c>
      <c r="F245" s="11" t="n">
        <v>4</v>
      </c>
      <c r="G245" s="11" t="inlineStr">
        <is>
          <t>R4-CO01</t>
        </is>
      </c>
      <c r="H245" s="11" t="inlineStr">
        <is>
          <t>DO-8221</t>
        </is>
      </c>
      <c r="I245" s="11" t="n">
        <v>8</v>
      </c>
      <c r="J245" s="11" t="inlineStr">
        <is>
          <t>Pulse</t>
        </is>
      </c>
      <c r="K245" s="11" t="inlineStr">
        <is>
          <t>-</t>
        </is>
      </c>
      <c r="L245" s="11" t="inlineStr">
        <is>
          <t>Operator</t>
        </is>
      </c>
      <c r="M245" s="11" t="inlineStr">
        <is>
          <t>Select then confirm</t>
        </is>
      </c>
    </row>
  </sheetData>
  <autoFilter ref="A1:M245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8" customWidth="1" min="1" max="1"/>
    <col width="24" customWidth="1" min="2" max="2"/>
    <col width="11" customWidth="1" min="3" max="3"/>
    <col width="12" customWidth="1" min="4" max="4"/>
    <col width="10" customWidth="1" min="5" max="5"/>
    <col width="8" customWidth="1" min="6" max="7"/>
    <col width="9" customWidth="1" min="8" max="8"/>
  </cols>
  <sheetData>
    <row r="1" ht="30" customHeight="1">
      <c r="A1" s="8" t="inlineStr">
        <is>
          <t>I/O row</t>
        </is>
      </c>
      <c r="B1" s="8" t="inlineStr">
        <is>
          <t>Location</t>
        </is>
      </c>
      <c r="C1" s="8" t="inlineStr">
        <is>
          <t>Module</t>
        </is>
      </c>
      <c r="D1" s="8" t="inlineStr">
        <is>
          <t>Module type</t>
        </is>
      </c>
      <c r="E1" s="8" t="inlineStr">
        <is>
          <t>Channels</t>
        </is>
      </c>
      <c r="F1" s="8" t="inlineStr">
        <is>
          <t>Used</t>
        </is>
      </c>
      <c r="G1" s="8" t="inlineStr">
        <is>
          <t>Spare</t>
        </is>
      </c>
      <c r="H1" s="8" t="inlineStr">
        <is>
          <t>Spare %</t>
        </is>
      </c>
    </row>
    <row r="2">
      <c r="A2" s="11" t="n">
        <v>1</v>
      </c>
      <c r="B2" s="11" t="inlineStr">
        <is>
          <t>11 kV switchroom (local)</t>
        </is>
      </c>
      <c r="C2" s="11" t="inlineStr">
        <is>
          <t>R1-DI01</t>
        </is>
      </c>
      <c r="D2" s="11" t="inlineStr">
        <is>
          <t>DI-8112</t>
        </is>
      </c>
      <c r="E2" s="11" t="n">
        <v>16</v>
      </c>
      <c r="F2" s="11">
        <f>COUNTIF('IO List'!$G$2:$G$245,C2)</f>
        <v/>
      </c>
      <c r="G2" s="11">
        <f>E2-F2</f>
        <v/>
      </c>
      <c r="H2" s="14">
        <f>IF(E2=0,0,G2/E2)</f>
        <v/>
      </c>
    </row>
    <row r="3">
      <c r="A3" s="11" t="n">
        <v>1</v>
      </c>
      <c r="B3" s="11" t="inlineStr">
        <is>
          <t>11 kV switchroom (local)</t>
        </is>
      </c>
      <c r="C3" s="11" t="inlineStr">
        <is>
          <t>R1-DI02</t>
        </is>
      </c>
      <c r="D3" s="11" t="inlineStr">
        <is>
          <t>DI-8112</t>
        </is>
      </c>
      <c r="E3" s="11" t="n">
        <v>16</v>
      </c>
      <c r="F3" s="11">
        <f>COUNTIF('IO List'!$G$2:$G$245,C3)</f>
        <v/>
      </c>
      <c r="G3" s="11">
        <f>E3-F3</f>
        <v/>
      </c>
      <c r="H3" s="14">
        <f>IF(E3=0,0,G3/E3)</f>
        <v/>
      </c>
    </row>
    <row r="4">
      <c r="A4" s="11" t="n">
        <v>1</v>
      </c>
      <c r="B4" s="11" t="inlineStr">
        <is>
          <t>11 kV switchroom (local)</t>
        </is>
      </c>
      <c r="C4" s="11" t="inlineStr">
        <is>
          <t>R1-DI03</t>
        </is>
      </c>
      <c r="D4" s="11" t="inlineStr">
        <is>
          <t>DI-8112</t>
        </is>
      </c>
      <c r="E4" s="11" t="n">
        <v>16</v>
      </c>
      <c r="F4" s="11">
        <f>COUNTIF('IO List'!$G$2:$G$245,C4)</f>
        <v/>
      </c>
      <c r="G4" s="11">
        <f>E4-F4</f>
        <v/>
      </c>
      <c r="H4" s="14">
        <f>IF(E4=0,0,G4/E4)</f>
        <v/>
      </c>
    </row>
    <row r="5">
      <c r="A5" s="11" t="n">
        <v>1</v>
      </c>
      <c r="B5" s="11" t="inlineStr">
        <is>
          <t>11 kV switchroom (local)</t>
        </is>
      </c>
      <c r="C5" s="11" t="inlineStr">
        <is>
          <t>R1-DI04</t>
        </is>
      </c>
      <c r="D5" s="11" t="inlineStr">
        <is>
          <t>DI-8112</t>
        </is>
      </c>
      <c r="E5" s="11" t="n">
        <v>16</v>
      </c>
      <c r="F5" s="11">
        <f>COUNTIF('IO List'!$G$2:$G$245,C5)</f>
        <v/>
      </c>
      <c r="G5" s="11">
        <f>E5-F5</f>
        <v/>
      </c>
      <c r="H5" s="14">
        <f>IF(E5=0,0,G5/E5)</f>
        <v/>
      </c>
    </row>
    <row r="6">
      <c r="A6" s="11" t="n">
        <v>1</v>
      </c>
      <c r="B6" s="11" t="inlineStr">
        <is>
          <t>11 kV switchroom (local)</t>
        </is>
      </c>
      <c r="C6" s="11" t="inlineStr">
        <is>
          <t>R1-DI05</t>
        </is>
      </c>
      <c r="D6" s="11" t="inlineStr">
        <is>
          <t>DI-8112</t>
        </is>
      </c>
      <c r="E6" s="11" t="n">
        <v>16</v>
      </c>
      <c r="F6" s="11">
        <f>COUNTIF('IO List'!$G$2:$G$245,C6)</f>
        <v/>
      </c>
      <c r="G6" s="11">
        <f>E6-F6</f>
        <v/>
      </c>
      <c r="H6" s="14">
        <f>IF(E6=0,0,G6/E6)</f>
        <v/>
      </c>
    </row>
    <row r="7">
      <c r="A7" s="11" t="n">
        <v>1</v>
      </c>
      <c r="B7" s="11" t="inlineStr">
        <is>
          <t>11 kV switchroom (local)</t>
        </is>
      </c>
      <c r="C7" s="11" t="inlineStr">
        <is>
          <t>R1-CO01</t>
        </is>
      </c>
      <c r="D7" s="11" t="inlineStr">
        <is>
          <t>DO-8221</t>
        </is>
      </c>
      <c r="E7" s="11" t="n">
        <v>12</v>
      </c>
      <c r="F7" s="11">
        <f>COUNTIF('IO List'!$G$2:$G$245,C7)</f>
        <v/>
      </c>
      <c r="G7" s="11">
        <f>E7-F7</f>
        <v/>
      </c>
      <c r="H7" s="14">
        <f>IF(E7=0,0,G7/E7)</f>
        <v/>
      </c>
    </row>
    <row r="8">
      <c r="A8" s="11" t="n">
        <v>1</v>
      </c>
      <c r="B8" s="11" t="inlineStr">
        <is>
          <t>11 kV switchroom (local)</t>
        </is>
      </c>
      <c r="C8" s="11" t="inlineStr">
        <is>
          <t>R1-CO02</t>
        </is>
      </c>
      <c r="D8" s="11" t="inlineStr">
        <is>
          <t>DO-8221</t>
        </is>
      </c>
      <c r="E8" s="11" t="n">
        <v>12</v>
      </c>
      <c r="F8" s="11">
        <f>COUNTIF('IO List'!$G$2:$G$245,C8)</f>
        <v/>
      </c>
      <c r="G8" s="11">
        <f>E8-F8</f>
        <v/>
      </c>
      <c r="H8" s="14">
        <f>IF(E8=0,0,G8/E8)</f>
        <v/>
      </c>
    </row>
    <row r="9">
      <c r="A9" s="11" t="n">
        <v>1</v>
      </c>
      <c r="B9" s="11" t="inlineStr">
        <is>
          <t>11 kV switchroom (local)</t>
        </is>
      </c>
      <c r="C9" s="11" t="inlineStr">
        <is>
          <t>R1-DO01</t>
        </is>
      </c>
      <c r="D9" s="11" t="inlineStr">
        <is>
          <t>DO-8212</t>
        </is>
      </c>
      <c r="E9" s="11" t="n">
        <v>8</v>
      </c>
      <c r="F9" s="11">
        <f>COUNTIF('IO List'!$G$2:$G$245,C9)</f>
        <v/>
      </c>
      <c r="G9" s="11">
        <f>E9-F9</f>
        <v/>
      </c>
      <c r="H9" s="14">
        <f>IF(E9=0,0,G9/E9)</f>
        <v/>
      </c>
    </row>
    <row r="10">
      <c r="A10" s="11" t="n">
        <v>2</v>
      </c>
      <c r="B10" s="11" t="inlineStr">
        <is>
          <t>11 kV switchroom (CI-8532)</t>
        </is>
      </c>
      <c r="C10" s="11" t="inlineStr">
        <is>
          <t>R2-DI01</t>
        </is>
      </c>
      <c r="D10" s="11" t="inlineStr">
        <is>
          <t>DI-8112</t>
        </is>
      </c>
      <c r="E10" s="11" t="n">
        <v>16</v>
      </c>
      <c r="F10" s="11">
        <f>COUNTIF('IO List'!$G$2:$G$245,C10)</f>
        <v/>
      </c>
      <c r="G10" s="11">
        <f>E10-F10</f>
        <v/>
      </c>
      <c r="H10" s="14">
        <f>IF(E10=0,0,G10/E10)</f>
        <v/>
      </c>
    </row>
    <row r="11">
      <c r="A11" s="11" t="n">
        <v>2</v>
      </c>
      <c r="B11" s="11" t="inlineStr">
        <is>
          <t>11 kV switchroom (CI-8532)</t>
        </is>
      </c>
      <c r="C11" s="11" t="inlineStr">
        <is>
          <t>R2-DI02</t>
        </is>
      </c>
      <c r="D11" s="11" t="inlineStr">
        <is>
          <t>DI-8112</t>
        </is>
      </c>
      <c r="E11" s="11" t="n">
        <v>16</v>
      </c>
      <c r="F11" s="11">
        <f>COUNTIF('IO List'!$G$2:$G$245,C11)</f>
        <v/>
      </c>
      <c r="G11" s="11">
        <f>E11-F11</f>
        <v/>
      </c>
      <c r="H11" s="14">
        <f>IF(E11=0,0,G11/E11)</f>
        <v/>
      </c>
    </row>
    <row r="12">
      <c r="A12" s="11" t="n">
        <v>2</v>
      </c>
      <c r="B12" s="11" t="inlineStr">
        <is>
          <t>11 kV switchroom (CI-8532)</t>
        </is>
      </c>
      <c r="C12" s="11" t="inlineStr">
        <is>
          <t>R2-AI01</t>
        </is>
      </c>
      <c r="D12" s="11" t="inlineStr">
        <is>
          <t>AI-8320</t>
        </is>
      </c>
      <c r="E12" s="11" t="n">
        <v>4</v>
      </c>
      <c r="F12" s="11">
        <f>COUNTIF('IO List'!$G$2:$G$245,C12)</f>
        <v/>
      </c>
      <c r="G12" s="11">
        <f>E12-F12</f>
        <v/>
      </c>
      <c r="H12" s="14">
        <f>IF(E12=0,0,G12/E12)</f>
        <v/>
      </c>
    </row>
    <row r="13">
      <c r="A13" s="11" t="n">
        <v>3</v>
      </c>
      <c r="B13" s="11" t="inlineStr">
        <is>
          <t>President station (CI-8533)</t>
        </is>
      </c>
      <c r="C13" s="11" t="inlineStr">
        <is>
          <t>R3-DI01</t>
        </is>
      </c>
      <c r="D13" s="11" t="inlineStr">
        <is>
          <t>DI-8112</t>
        </is>
      </c>
      <c r="E13" s="11" t="n">
        <v>16</v>
      </c>
      <c r="F13" s="11">
        <f>COUNTIF('IO List'!$G$2:$G$245,C13)</f>
        <v/>
      </c>
      <c r="G13" s="11">
        <f>E13-F13</f>
        <v/>
      </c>
      <c r="H13" s="14">
        <f>IF(E13=0,0,G13/E13)</f>
        <v/>
      </c>
    </row>
    <row r="14">
      <c r="A14" s="11" t="n">
        <v>3</v>
      </c>
      <c r="B14" s="11" t="inlineStr">
        <is>
          <t>President station (CI-8533)</t>
        </is>
      </c>
      <c r="C14" s="11" t="inlineStr">
        <is>
          <t>R3-DI02</t>
        </is>
      </c>
      <c r="D14" s="11" t="inlineStr">
        <is>
          <t>DI-8112</t>
        </is>
      </c>
      <c r="E14" s="11" t="n">
        <v>16</v>
      </c>
      <c r="F14" s="11">
        <f>COUNTIF('IO List'!$G$2:$G$245,C14)</f>
        <v/>
      </c>
      <c r="G14" s="11">
        <f>E14-F14</f>
        <v/>
      </c>
      <c r="H14" s="14">
        <f>IF(E14=0,0,G14/E14)</f>
        <v/>
      </c>
    </row>
    <row r="15">
      <c r="A15" s="11" t="n">
        <v>3</v>
      </c>
      <c r="B15" s="11" t="inlineStr">
        <is>
          <t>President station (CI-8533)</t>
        </is>
      </c>
      <c r="C15" s="11" t="inlineStr">
        <is>
          <t>R3-DI03</t>
        </is>
      </c>
      <c r="D15" s="11" t="inlineStr">
        <is>
          <t>DI-8112</t>
        </is>
      </c>
      <c r="E15" s="11" t="n">
        <v>16</v>
      </c>
      <c r="F15" s="11">
        <f>COUNTIF('IO List'!$G$2:$G$245,C15)</f>
        <v/>
      </c>
      <c r="G15" s="11">
        <f>E15-F15</f>
        <v/>
      </c>
      <c r="H15" s="14">
        <f>IF(E15=0,0,G15/E15)</f>
        <v/>
      </c>
    </row>
    <row r="16">
      <c r="A16" s="11" t="n">
        <v>3</v>
      </c>
      <c r="B16" s="11" t="inlineStr">
        <is>
          <t>President station (CI-8533)</t>
        </is>
      </c>
      <c r="C16" s="11" t="inlineStr">
        <is>
          <t>R3-CO01</t>
        </is>
      </c>
      <c r="D16" s="11" t="inlineStr">
        <is>
          <t>DO-8221</t>
        </is>
      </c>
      <c r="E16" s="11" t="n">
        <v>12</v>
      </c>
      <c r="F16" s="11">
        <f>COUNTIF('IO List'!$G$2:$G$245,C16)</f>
        <v/>
      </c>
      <c r="G16" s="11">
        <f>E16-F16</f>
        <v/>
      </c>
      <c r="H16" s="14">
        <f>IF(E16=0,0,G16/E16)</f>
        <v/>
      </c>
    </row>
    <row r="17" ht="25.5" customHeight="1">
      <c r="A17" s="11" t="n">
        <v>4</v>
      </c>
      <c r="B17" s="11" t="inlineStr">
        <is>
          <t>Prime Minister station (CI-8533)</t>
        </is>
      </c>
      <c r="C17" s="11" t="inlineStr">
        <is>
          <t>R4-DI01</t>
        </is>
      </c>
      <c r="D17" s="11" t="inlineStr">
        <is>
          <t>DI-8112</t>
        </is>
      </c>
      <c r="E17" s="11" t="n">
        <v>16</v>
      </c>
      <c r="F17" s="11">
        <f>COUNTIF('IO List'!$G$2:$G$245,C17)</f>
        <v/>
      </c>
      <c r="G17" s="11">
        <f>E17-F17</f>
        <v/>
      </c>
      <c r="H17" s="14">
        <f>IF(E17=0,0,G17/E17)</f>
        <v/>
      </c>
    </row>
    <row r="18" ht="25.5" customHeight="1">
      <c r="A18" s="11" t="n">
        <v>4</v>
      </c>
      <c r="B18" s="11" t="inlineStr">
        <is>
          <t>Prime Minister station (CI-8533)</t>
        </is>
      </c>
      <c r="C18" s="11" t="inlineStr">
        <is>
          <t>R4-DI02</t>
        </is>
      </c>
      <c r="D18" s="11" t="inlineStr">
        <is>
          <t>DI-8112</t>
        </is>
      </c>
      <c r="E18" s="11" t="n">
        <v>16</v>
      </c>
      <c r="F18" s="11">
        <f>COUNTIF('IO List'!$G$2:$G$245,C18)</f>
        <v/>
      </c>
      <c r="G18" s="11">
        <f>E18-F18</f>
        <v/>
      </c>
      <c r="H18" s="14">
        <f>IF(E18=0,0,G18/E18)</f>
        <v/>
      </c>
    </row>
    <row r="19" ht="25.5" customHeight="1">
      <c r="A19" s="11" t="n">
        <v>4</v>
      </c>
      <c r="B19" s="11" t="inlineStr">
        <is>
          <t>Prime Minister station (CI-8533)</t>
        </is>
      </c>
      <c r="C19" s="11" t="inlineStr">
        <is>
          <t>R4-DI03</t>
        </is>
      </c>
      <c r="D19" s="11" t="inlineStr">
        <is>
          <t>DI-8112</t>
        </is>
      </c>
      <c r="E19" s="11" t="n">
        <v>16</v>
      </c>
      <c r="F19" s="11">
        <f>COUNTIF('IO List'!$G$2:$G$245,C19)</f>
        <v/>
      </c>
      <c r="G19" s="11">
        <f>E19-F19</f>
        <v/>
      </c>
      <c r="H19" s="14">
        <f>IF(E19=0,0,G19/E19)</f>
        <v/>
      </c>
    </row>
    <row r="20" ht="25.5" customHeight="1">
      <c r="A20" s="11" t="n">
        <v>4</v>
      </c>
      <c r="B20" s="11" t="inlineStr">
        <is>
          <t>Prime Minister station (CI-8533)</t>
        </is>
      </c>
      <c r="C20" s="11" t="inlineStr">
        <is>
          <t>R4-CO01</t>
        </is>
      </c>
      <c r="D20" s="11" t="inlineStr">
        <is>
          <t>DO-8221</t>
        </is>
      </c>
      <c r="E20" s="11" t="n">
        <v>12</v>
      </c>
      <c r="F20" s="11">
        <f>COUNTIF('IO List'!$G$2:$G$245,C20)</f>
        <v/>
      </c>
      <c r="G20" s="11">
        <f>E20-F20</f>
        <v/>
      </c>
      <c r="H20" s="14">
        <f>IF(E20=0,0,G20/E20)</f>
        <v/>
      </c>
    </row>
    <row r="21" ht="25.5" customHeight="1">
      <c r="A21" s="11" t="n">
        <v>5</v>
      </c>
      <c r="B21" s="11" t="inlineStr">
        <is>
          <t>BESS and inverter transformer yard (CI-8533)</t>
        </is>
      </c>
      <c r="C21" s="11" t="inlineStr">
        <is>
          <t>R5-DI01</t>
        </is>
      </c>
      <c r="D21" s="11" t="inlineStr">
        <is>
          <t>DI-8112</t>
        </is>
      </c>
      <c r="E21" s="11" t="n">
        <v>16</v>
      </c>
      <c r="F21" s="11">
        <f>COUNTIF('IO List'!$G$2:$G$245,C21)</f>
        <v/>
      </c>
      <c r="G21" s="11">
        <f>E21-F21</f>
        <v/>
      </c>
      <c r="H21" s="14">
        <f>IF(E21=0,0,G21/E21)</f>
        <v/>
      </c>
    </row>
    <row r="22" ht="25.5" customHeight="1">
      <c r="A22" s="11" t="n">
        <v>5</v>
      </c>
      <c r="B22" s="11" t="inlineStr">
        <is>
          <t>BESS and inverter transformer yard (CI-8533)</t>
        </is>
      </c>
      <c r="C22" s="11" t="inlineStr">
        <is>
          <t>R5-DI02</t>
        </is>
      </c>
      <c r="D22" s="11" t="inlineStr">
        <is>
          <t>DI-8112</t>
        </is>
      </c>
      <c r="E22" s="11" t="n">
        <v>16</v>
      </c>
      <c r="F22" s="11">
        <f>COUNTIF('IO List'!$G$2:$G$245,C22)</f>
        <v/>
      </c>
      <c r="G22" s="11">
        <f>E22-F22</f>
        <v/>
      </c>
      <c r="H22" s="14">
        <f>IF(E22=0,0,G22/E22)</f>
        <v/>
      </c>
    </row>
    <row r="23">
      <c r="A23" s="11" t="n">
        <v>6</v>
      </c>
      <c r="B23" s="11" t="inlineStr">
        <is>
          <t>Generator area (CI-8533)</t>
        </is>
      </c>
      <c r="C23" s="11" t="inlineStr">
        <is>
          <t>R6-DI01</t>
        </is>
      </c>
      <c r="D23" s="11" t="inlineStr">
        <is>
          <t>DI-8112</t>
        </is>
      </c>
      <c r="E23" s="11" t="n">
        <v>16</v>
      </c>
      <c r="F23" s="11">
        <f>COUNTIF('IO List'!$G$2:$G$245,C23)</f>
        <v/>
      </c>
      <c r="G23" s="11">
        <f>E23-F23</f>
        <v/>
      </c>
      <c r="H23" s="14">
        <f>IF(E23=0,0,G23/E23)</f>
        <v/>
      </c>
    </row>
    <row r="24">
      <c r="A24" s="11" t="n">
        <v>6</v>
      </c>
      <c r="B24" s="11" t="inlineStr">
        <is>
          <t>Generator area (CI-8533)</t>
        </is>
      </c>
      <c r="C24" s="11" t="inlineStr">
        <is>
          <t>R6-DI02</t>
        </is>
      </c>
      <c r="D24" s="11" t="inlineStr">
        <is>
          <t>DI-8112</t>
        </is>
      </c>
      <c r="E24" s="11" t="n">
        <v>16</v>
      </c>
      <c r="F24" s="11">
        <f>COUNTIF('IO List'!$G$2:$G$245,C24)</f>
        <v/>
      </c>
      <c r="G24" s="11">
        <f>E24-F24</f>
        <v/>
      </c>
      <c r="H24" s="14">
        <f>IF(E24=0,0,G24/E24)</f>
        <v/>
      </c>
    </row>
    <row r="25">
      <c r="A25" s="11" t="n">
        <v>6</v>
      </c>
      <c r="B25" s="11" t="inlineStr">
        <is>
          <t>Generator area (CI-8533)</t>
        </is>
      </c>
      <c r="C25" s="11" t="inlineStr">
        <is>
          <t>R6-AI01</t>
        </is>
      </c>
      <c r="D25" s="11" t="inlineStr">
        <is>
          <t>AI-8320</t>
        </is>
      </c>
      <c r="E25" s="11" t="n">
        <v>4</v>
      </c>
      <c r="F25" s="11">
        <f>COUNTIF('IO List'!$G$2:$G$245,C25)</f>
        <v/>
      </c>
      <c r="G25" s="11">
        <f>E25-F25</f>
        <v/>
      </c>
      <c r="H25" s="14">
        <f>IF(E25=0,0,G25/E25)</f>
        <v/>
      </c>
    </row>
    <row r="26"/>
    <row r="27">
      <c r="A27" s="2" t="inlineStr">
        <is>
          <t>Totals by module type</t>
        </is>
      </c>
    </row>
    <row r="28" ht="30" customHeight="1">
      <c r="A28" s="8" t="inlineStr">
        <is>
          <t>Module type</t>
        </is>
      </c>
      <c r="B28" s="8" t="inlineStr">
        <is>
          <t>Description</t>
        </is>
      </c>
      <c r="C28" s="8" t="inlineStr">
        <is>
          <t>Modules</t>
        </is>
      </c>
      <c r="D28" s="8" t="inlineStr">
        <is>
          <t>Channels</t>
        </is>
      </c>
      <c r="E28" s="8" t="inlineStr">
        <is>
          <t>Used</t>
        </is>
      </c>
      <c r="F28" s="8" t="inlineStr">
        <is>
          <t>Spare</t>
        </is>
      </c>
      <c r="G28" s="8" t="inlineStr">
        <is>
          <t>Spare %</t>
        </is>
      </c>
      <c r="H28" s="8" t="n"/>
    </row>
    <row r="29">
      <c r="A29" s="11" t="inlineStr">
        <is>
          <t>DI-8112</t>
        </is>
      </c>
      <c r="B29" s="11" t="inlineStr">
        <is>
          <t>Digital input, 16</t>
        </is>
      </c>
      <c r="C29" s="11">
        <f>COUNTIF($D$2:$D$25,A29)</f>
        <v/>
      </c>
      <c r="D29" s="11">
        <f>SUMIF($D$2:$D$25,A29,$E$2:$E$25)</f>
        <v/>
      </c>
      <c r="E29" s="11">
        <f>SUMIF($D$2:$D$25,A29,$F$2:$F$25)</f>
        <v/>
      </c>
      <c r="F29" s="11">
        <f>D29-E29</f>
        <v/>
      </c>
      <c r="G29" s="14">
        <f>IF(D29=0,0,F29/D29)</f>
        <v/>
      </c>
    </row>
    <row r="30" ht="25.5" customHeight="1">
      <c r="A30" s="11" t="inlineStr">
        <is>
          <t>DO-8221</t>
        </is>
      </c>
      <c r="B30" s="11" t="inlineStr">
        <is>
          <t>Secured command output, 12</t>
        </is>
      </c>
      <c r="C30" s="11">
        <f>COUNTIF($D$2:$D$25,A30)</f>
        <v/>
      </c>
      <c r="D30" s="11">
        <f>SUMIF($D$2:$D$25,A30,$E$2:$E$25)</f>
        <v/>
      </c>
      <c r="E30" s="11">
        <f>SUMIF($D$2:$D$25,A30,$F$2:$F$25)</f>
        <v/>
      </c>
      <c r="F30" s="11">
        <f>D30-E30</f>
        <v/>
      </c>
      <c r="G30" s="14">
        <f>IF(D30=0,0,F30/D30)</f>
        <v/>
      </c>
    </row>
    <row r="31" ht="25.5" customHeight="1">
      <c r="A31" s="11" t="inlineStr">
        <is>
          <t>DO-8212</t>
        </is>
      </c>
      <c r="B31" s="11" t="inlineStr">
        <is>
          <t>Relay output, 8</t>
        </is>
      </c>
      <c r="C31" s="11">
        <f>COUNTIF($D$2:$D$25,A31)</f>
        <v/>
      </c>
      <c r="D31" s="11">
        <f>SUMIF($D$2:$D$25,A31,$E$2:$E$25)</f>
        <v/>
      </c>
      <c r="E31" s="11">
        <f>SUMIF($D$2:$D$25,A31,$F$2:$F$25)</f>
        <v/>
      </c>
      <c r="F31" s="11">
        <f>D31-E31</f>
        <v/>
      </c>
      <c r="G31" s="14">
        <f>IF(D31=0,0,F31/D31)</f>
        <v/>
      </c>
    </row>
    <row r="32">
      <c r="A32" s="11" t="inlineStr">
        <is>
          <t>AI-8320</t>
        </is>
      </c>
      <c r="B32" s="11" t="inlineStr">
        <is>
          <t>Analogue input, 4</t>
        </is>
      </c>
      <c r="C32" s="11">
        <f>COUNTIF($D$2:$D$25,A32)</f>
        <v/>
      </c>
      <c r="D32" s="11">
        <f>SUMIF($D$2:$D$25,A32,$E$2:$E$25)</f>
        <v/>
      </c>
      <c r="E32" s="11">
        <f>SUMIF($D$2:$D$25,A32,$F$2:$F$25)</f>
        <v/>
      </c>
      <c r="F32" s="11">
        <f>D32-E32</f>
        <v/>
      </c>
      <c r="G32" s="14">
        <f>IF(D32=0,0,F32/D32)</f>
        <v/>
      </c>
    </row>
    <row r="33">
      <c r="A33" s="15" t="inlineStr">
        <is>
          <t>Total</t>
        </is>
      </c>
      <c r="B33" s="15" t="n"/>
      <c r="C33" s="15">
        <f>SUM(C29:C32)</f>
        <v/>
      </c>
      <c r="D33" s="15">
        <f>SUM(D29:D32)</f>
        <v/>
      </c>
      <c r="E33" s="15">
        <f>SUM(E29:E32)</f>
        <v/>
      </c>
      <c r="F33" s="15">
        <f>SUM(F29:F32)</f>
        <v/>
      </c>
      <c r="G33" s="16">
        <f>IF(D33=0,0,F33/D33)</f>
        <v/>
      </c>
    </row>
    <row r="34"/>
    <row r="35">
      <c r="A35" s="2" t="inlineStr">
        <is>
          <t>Hardwired signals by type</t>
        </is>
      </c>
    </row>
    <row r="36" ht="30" customHeight="1">
      <c r="A36" s="8" t="inlineStr">
        <is>
          <t>Type</t>
        </is>
      </c>
      <c r="B36" s="8" t="inlineStr">
        <is>
          <t>Meaning</t>
        </is>
      </c>
      <c r="C36" s="8" t="inlineStr">
        <is>
          <t>Signals</t>
        </is>
      </c>
      <c r="D36" s="8" t="n"/>
      <c r="E36" s="8" t="n"/>
      <c r="F36" s="8" t="n"/>
      <c r="G36" s="8" t="n"/>
      <c r="H36" s="8" t="n"/>
    </row>
    <row r="37">
      <c r="A37" s="11" t="inlineStr">
        <is>
          <t>DI</t>
        </is>
      </c>
      <c r="B37" s="11" t="inlineStr">
        <is>
          <t>Digital input (status, alarm)</t>
        </is>
      </c>
      <c r="C37" s="11">
        <f>COUNTIF('IO List'!$E$2:$E$245,A37)</f>
        <v/>
      </c>
    </row>
    <row r="38">
      <c r="A38" s="11" t="inlineStr">
        <is>
          <t>DO</t>
        </is>
      </c>
      <c r="B38" s="11" t="inlineStr">
        <is>
          <t>Digital output (command)</t>
        </is>
      </c>
      <c r="C38" s="11">
        <f>COUNTIF('IO List'!$E$2:$E$245,A38)</f>
        <v/>
      </c>
    </row>
    <row r="39">
      <c r="A39" s="11" t="inlineStr">
        <is>
          <t>AI</t>
        </is>
      </c>
      <c r="B39" s="11" t="inlineStr">
        <is>
          <t>Analogue input (4-20 mA)</t>
        </is>
      </c>
      <c r="C39" s="11">
        <f>COUNTIF('IO List'!$E$2:$E$245,A39)</f>
        <v/>
      </c>
    </row>
    <row r="40">
      <c r="A40" s="15" t="inlineStr">
        <is>
          <t>Total</t>
        </is>
      </c>
      <c r="B40" s="15" t="n"/>
      <c r="C40" s="15">
        <f>SUM(C37:C39)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8" customWidth="1" min="1" max="1"/>
    <col width="28" customWidth="1" min="2" max="2"/>
    <col width="18" customWidth="1" min="3" max="4"/>
    <col width="30" customWidth="1" min="5" max="5"/>
    <col width="52" customWidth="1" min="6" max="6"/>
    <col width="11" customWidth="1" min="7" max="9"/>
  </cols>
  <sheetData>
    <row r="1" ht="30" customHeight="1">
      <c r="A1" s="8" t="inlineStr">
        <is>
          <t>I/O row</t>
        </is>
      </c>
      <c r="B1" s="8" t="inlineStr">
        <is>
          <t>Location</t>
        </is>
      </c>
      <c r="C1" s="8" t="inlineStr">
        <is>
          <t>Remote interface</t>
        </is>
      </c>
      <c r="D1" s="8" t="inlineStr">
        <is>
          <t>Product number</t>
        </is>
      </c>
      <c r="E1" s="8" t="inlineStr">
        <is>
          <t>Link to CP-8050</t>
        </is>
      </c>
      <c r="F1" s="8" t="inlineStr">
        <is>
          <t>Equipment wired to this row</t>
        </is>
      </c>
      <c r="G1" s="8" t="inlineStr">
        <is>
          <t>I/O modules</t>
        </is>
      </c>
      <c r="H1" s="8" t="inlineStr">
        <is>
          <t>Hardwired signals</t>
        </is>
      </c>
      <c r="I1" s="8" t="inlineStr">
        <is>
          <t>Spare channels</t>
        </is>
      </c>
    </row>
    <row r="2" ht="25.5" customHeight="1">
      <c r="A2" s="11" t="n">
        <v>1</v>
      </c>
      <c r="B2" s="11" t="inlineStr">
        <is>
          <t>11 kV switchroom, beside the CP-8050</t>
        </is>
      </c>
      <c r="C2" s="11" t="inlineStr">
        <is>
          <t>None (local row)</t>
        </is>
      </c>
      <c r="D2" s="11" t="inlineStr">
        <is>
          <t>-</t>
        </is>
      </c>
      <c r="E2" s="11" t="inlineStr">
        <is>
          <t>Backplane, no cable</t>
        </is>
      </c>
      <c r="F2" s="11" t="inlineStr">
        <is>
          <t>11 kV panels AH1 to AH8, alarm beacon, controller watchdog</t>
        </is>
      </c>
      <c r="G2" s="11">
        <f>COUNTIF('IO Summary'!$A$2:$A$25,A2)</f>
        <v/>
      </c>
      <c r="H2" s="11">
        <f>COUNTIF('IO List'!$F$2:$F$245,A2)</f>
        <v/>
      </c>
      <c r="I2" s="11">
        <f>SUMIF('IO Summary'!$A$2:$A$25,A2,'IO Summary'!$G$2:$G$25)</f>
        <v/>
      </c>
    </row>
    <row r="3" ht="25.5" customHeight="1">
      <c r="A3" s="11" t="n">
        <v>2</v>
      </c>
      <c r="B3" s="11" t="inlineStr">
        <is>
          <t>11 kV switchroom, SCADA cabinet</t>
        </is>
      </c>
      <c r="C3" s="11" t="inlineStr">
        <is>
          <t>CI-8532 (electrical)</t>
        </is>
      </c>
      <c r="D3" s="11" t="inlineStr">
        <is>
          <t>6MF2853-2AA00</t>
        </is>
      </c>
      <c r="E3" s="11" t="inlineStr">
        <is>
          <t>Copper, inside the cabinet</t>
        </is>
      </c>
      <c r="F3" s="11" t="inlineStr">
        <is>
          <t>Auxiliary transformer, auxiliary LV board, UPS, DC supplies, switchroom E-stop and doors</t>
        </is>
      </c>
      <c r="G3" s="11">
        <f>COUNTIF('IO Summary'!$A$2:$A$25,A3)</f>
        <v/>
      </c>
      <c r="H3" s="11">
        <f>COUNTIF('IO List'!$F$2:$F$245,A3)</f>
        <v/>
      </c>
      <c r="I3" s="11">
        <f>SUMIF('IO Summary'!$A$2:$A$25,A3,'IO Summary'!$G$2:$G$25)</f>
        <v/>
      </c>
    </row>
    <row r="4" ht="25.5" customHeight="1">
      <c r="A4" s="11" t="n">
        <v>3</v>
      </c>
      <c r="B4" s="11" t="inlineStr">
        <is>
          <t>President office transformer station</t>
        </is>
      </c>
      <c r="C4" s="11" t="inlineStr">
        <is>
          <t>CI-8533 (optical)</t>
        </is>
      </c>
      <c r="D4" s="12" t="inlineStr">
        <is>
          <t>To confirm</t>
        </is>
      </c>
      <c r="E4" s="11" t="inlineStr">
        <is>
          <t>Fibre pair, laid with the 11 kV cable</t>
        </is>
      </c>
      <c r="F4" s="11" t="inlineStr">
        <is>
          <t>RMU, 630 kVA transformer, LVDB</t>
        </is>
      </c>
      <c r="G4" s="11">
        <f>COUNTIF('IO Summary'!$A$2:$A$25,A4)</f>
        <v/>
      </c>
      <c r="H4" s="11">
        <f>COUNTIF('IO List'!$F$2:$F$245,A4)</f>
        <v/>
      </c>
      <c r="I4" s="11">
        <f>SUMIF('IO Summary'!$A$2:$A$25,A4,'IO Summary'!$G$2:$G$25)</f>
        <v/>
      </c>
    </row>
    <row r="5" ht="25.5" customHeight="1">
      <c r="A5" s="11" t="n">
        <v>4</v>
      </c>
      <c r="B5" s="11" t="inlineStr">
        <is>
          <t>Prime Minister office transformer station</t>
        </is>
      </c>
      <c r="C5" s="11" t="inlineStr">
        <is>
          <t>CI-8533 (optical)</t>
        </is>
      </c>
      <c r="D5" s="12" t="inlineStr">
        <is>
          <t>To confirm</t>
        </is>
      </c>
      <c r="E5" s="11" t="inlineStr">
        <is>
          <t>Fibre pair, laid with the 11 kV cable</t>
        </is>
      </c>
      <c r="F5" s="11" t="inlineStr">
        <is>
          <t>RMU, 630 kVA transformer, LVDB</t>
        </is>
      </c>
      <c r="G5" s="11">
        <f>COUNTIF('IO Summary'!$A$2:$A$25,A5)</f>
        <v/>
      </c>
      <c r="H5" s="11">
        <f>COUNTIF('IO List'!$F$2:$F$245,A5)</f>
        <v/>
      </c>
      <c r="I5" s="11">
        <f>SUMIF('IO Summary'!$A$2:$A$25,A5,'IO Summary'!$G$2:$G$25)</f>
        <v/>
      </c>
    </row>
    <row r="6" ht="25.5" customHeight="1">
      <c r="A6" s="11" t="n">
        <v>5</v>
      </c>
      <c r="B6" s="11" t="inlineStr">
        <is>
          <t>BESS and inverter transformer yard</t>
        </is>
      </c>
      <c r="C6" s="11" t="inlineStr">
        <is>
          <t>CI-8533 (optical)</t>
        </is>
      </c>
      <c r="D6" s="12" t="inlineStr">
        <is>
          <t>To confirm</t>
        </is>
      </c>
      <c r="E6" s="11" t="inlineStr">
        <is>
          <t>Spare fibre pair in the field switch 2 cable</t>
        </is>
      </c>
      <c r="F6" s="11" t="inlineStr">
        <is>
          <t>Inverter transformer, battery fire panel, BESS E-stop and door, panel supervision</t>
        </is>
      </c>
      <c r="G6" s="11">
        <f>COUNTIF('IO Summary'!$A$2:$A$25,A6)</f>
        <v/>
      </c>
      <c r="H6" s="11">
        <f>COUNTIF('IO List'!$F$2:$F$245,A6)</f>
        <v/>
      </c>
      <c r="I6" s="11">
        <f>SUMIF('IO Summary'!$A$2:$A$25,A6,'IO Summary'!$G$2:$G$25)</f>
        <v/>
      </c>
    </row>
    <row r="7" ht="25.5" customHeight="1">
      <c r="A7" s="11" t="n">
        <v>6</v>
      </c>
      <c r="B7" s="11" t="inlineStr">
        <is>
          <t>Generator area</t>
        </is>
      </c>
      <c r="C7" s="11" t="inlineStr">
        <is>
          <t>CI-8533 (optical)</t>
        </is>
      </c>
      <c r="D7" s="12" t="inlineStr">
        <is>
          <t>To confirm</t>
        </is>
      </c>
      <c r="E7" s="11" t="inlineStr">
        <is>
          <t>Spare fibre pair in the field switch 3 cable</t>
        </is>
      </c>
      <c r="F7" s="11" t="inlineStr">
        <is>
          <t>DG1 and DG2 status and fuel level, DG step-up transformer, panel supervision</t>
        </is>
      </c>
      <c r="G7" s="11">
        <f>COUNTIF('IO Summary'!$A$2:$A$25,A7)</f>
        <v/>
      </c>
      <c r="H7" s="11">
        <f>COUNTIF('IO List'!$F$2:$F$245,A7)</f>
        <v/>
      </c>
      <c r="I7" s="11">
        <f>SUMIF('IO Summary'!$A$2:$A$25,A7,'IO Summary'!$G$2:$G$25)</f>
        <v/>
      </c>
    </row>
    <row r="8">
      <c r="A8" s="15" t="inlineStr">
        <is>
          <t>Total</t>
        </is>
      </c>
      <c r="B8" s="15" t="n"/>
      <c r="C8" s="15" t="n"/>
      <c r="D8" s="15" t="n"/>
      <c r="E8" s="15" t="n"/>
      <c r="F8" s="15" t="n"/>
      <c r="G8" s="15">
        <f>SUM(G2:G7)</f>
        <v/>
      </c>
      <c r="H8" s="15">
        <f>SUM(H2:H7)</f>
        <v/>
      </c>
      <c r="I8" s="15">
        <f>SUM(I2:I7)</f>
        <v/>
      </c>
    </row>
    <row r="9"/>
    <row r="10">
      <c r="A10" s="13" t="inlineStr">
        <is>
          <t>Each remote row is a small panel near its equipment. Field contacts are wired a short distance to that panel; one link carries all signals to the CP-8050.</t>
        </is>
      </c>
    </row>
    <row r="11">
      <c r="A11" s="13" t="inlineStr">
        <is>
          <t>Rows within about 100 m of the switchroom may use CI-8532 on copper instead of CI-8533 on fibre. Fibre is preferred between buildings for surge and earth-potential immunity.</t>
        </is>
      </c>
    </row>
    <row r="12">
      <c r="A12" s="13" t="inlineStr">
        <is>
          <t>Confirm with Siemens: fibre type and maximum length for CI-8533, and whether the remote link can share a fibre cable with the plant network on separate cores.</t>
        </is>
      </c>
    </row>
    <row r="13">
      <c r="A13" s="13" t="inlineStr">
        <is>
          <t>The CP-8050 accepts up to 16 I/O rows of 8 modules, so the design uses 6 of 16 rows.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25"/>
  <cols>
    <col width="30" customWidth="1" min="1" max="1"/>
    <col width="26" customWidth="1" min="2" max="2"/>
    <col width="34" customWidth="1" min="3" max="3"/>
    <col width="10" customWidth="1" min="4" max="4"/>
    <col width="12" customWidth="1" min="5" max="5"/>
    <col width="8" customWidth="1" min="6" max="8"/>
    <col width="10" customWidth="1" min="9" max="9"/>
    <col width="11" customWidth="1" min="10" max="10"/>
    <col width="34" customWidth="1" min="11" max="11"/>
  </cols>
  <sheetData>
    <row r="1" ht="30" customHeight="1">
      <c r="A1" s="8" t="inlineStr">
        <is>
          <t>Device</t>
        </is>
      </c>
      <c r="B1" s="8" t="inlineStr">
        <is>
          <t>Source / protocol</t>
        </is>
      </c>
      <c r="C1" s="8" t="inlineStr">
        <is>
          <t>Point</t>
        </is>
      </c>
      <c r="D1" s="8" t="inlineStr">
        <is>
          <t>Direction</t>
        </is>
      </c>
      <c r="E1" s="8" t="inlineStr">
        <is>
          <t>Data type</t>
        </is>
      </c>
      <c r="F1" s="8" t="inlineStr">
        <is>
          <t>Unit</t>
        </is>
      </c>
      <c r="G1" s="8" t="inlineStr">
        <is>
          <t>Devices</t>
        </is>
      </c>
      <c r="H1" s="8" t="inlineStr">
        <is>
          <t>Points each</t>
        </is>
      </c>
      <c r="I1" s="8" t="inlineStr">
        <is>
          <t>Total points</t>
        </is>
      </c>
      <c r="J1" s="8" t="inlineStr">
        <is>
          <t>Operated by</t>
        </is>
      </c>
      <c r="K1" s="8" t="inlineStr">
        <is>
          <t>Notes</t>
        </is>
      </c>
    </row>
    <row r="2">
      <c r="A2" s="11" t="inlineStr">
        <is>
          <t>PV inverter NB01 to NB04</t>
        </is>
      </c>
      <c r="B2" s="11" t="inlineStr">
        <is>
          <t>PLC box, Modbus TCP</t>
        </is>
      </c>
      <c r="C2" s="11" t="inlineStr">
        <is>
          <t>Active power</t>
        </is>
      </c>
      <c r="D2" s="11" t="inlineStr">
        <is>
          <t>Read</t>
        </is>
      </c>
      <c r="E2" s="11" t="inlineStr">
        <is>
          <t>Measured</t>
        </is>
      </c>
      <c r="F2" s="11" t="inlineStr">
        <is>
          <t>kW</t>
        </is>
      </c>
      <c r="G2" s="11" t="n">
        <v>4</v>
      </c>
      <c r="H2" s="11" t="n">
        <v>1</v>
      </c>
      <c r="I2" s="11">
        <f>G2*H2</f>
        <v/>
      </c>
      <c r="J2" s="11" t="inlineStr">
        <is>
          <t>-</t>
        </is>
      </c>
      <c r="K2" s="11" t="n"/>
    </row>
    <row r="3">
      <c r="A3" s="11" t="inlineStr">
        <is>
          <t>PV inverter NB01 to NB04</t>
        </is>
      </c>
      <c r="B3" s="11" t="inlineStr">
        <is>
          <t>PLC box, Modbus TCP</t>
        </is>
      </c>
      <c r="C3" s="11" t="inlineStr">
        <is>
          <t>Reactive power</t>
        </is>
      </c>
      <c r="D3" s="11" t="inlineStr">
        <is>
          <t>Read</t>
        </is>
      </c>
      <c r="E3" s="11" t="inlineStr">
        <is>
          <t>Measured</t>
        </is>
      </c>
      <c r="F3" s="11" t="inlineStr">
        <is>
          <t>kvar</t>
        </is>
      </c>
      <c r="G3" s="11" t="n">
        <v>4</v>
      </c>
      <c r="H3" s="11" t="n">
        <v>1</v>
      </c>
      <c r="I3" s="11">
        <f>G3*H3</f>
        <v/>
      </c>
      <c r="J3" s="11" t="inlineStr">
        <is>
          <t>-</t>
        </is>
      </c>
      <c r="K3" s="11" t="n"/>
    </row>
    <row r="4">
      <c r="A4" s="11" t="inlineStr">
        <is>
          <t>PV inverter NB01 to NB04</t>
        </is>
      </c>
      <c r="B4" s="11" t="inlineStr">
        <is>
          <t>PLC box, Modbus TCP</t>
        </is>
      </c>
      <c r="C4" s="11" t="inlineStr">
        <is>
          <t>AC voltage L1, L2, L3 (3 points)</t>
        </is>
      </c>
      <c r="D4" s="11" t="inlineStr">
        <is>
          <t>Read</t>
        </is>
      </c>
      <c r="E4" s="11" t="inlineStr">
        <is>
          <t>Measured</t>
        </is>
      </c>
      <c r="F4" s="11" t="inlineStr">
        <is>
          <t>V</t>
        </is>
      </c>
      <c r="G4" s="11" t="n">
        <v>4</v>
      </c>
      <c r="H4" s="11" t="n">
        <v>3</v>
      </c>
      <c r="I4" s="11">
        <f>G4*H4</f>
        <v/>
      </c>
      <c r="J4" s="11" t="inlineStr">
        <is>
          <t>-</t>
        </is>
      </c>
      <c r="K4" s="11" t="n"/>
    </row>
    <row r="5">
      <c r="A5" s="11" t="inlineStr">
        <is>
          <t>PV inverter NB01 to NB04</t>
        </is>
      </c>
      <c r="B5" s="11" t="inlineStr">
        <is>
          <t>PLC box, Modbus TCP</t>
        </is>
      </c>
      <c r="C5" s="11" t="inlineStr">
        <is>
          <t>AC current L1, L2, L3 (3 points)</t>
        </is>
      </c>
      <c r="D5" s="11" t="inlineStr">
        <is>
          <t>Read</t>
        </is>
      </c>
      <c r="E5" s="11" t="inlineStr">
        <is>
          <t>Measured</t>
        </is>
      </c>
      <c r="F5" s="11" t="inlineStr">
        <is>
          <t>A</t>
        </is>
      </c>
      <c r="G5" s="11" t="n">
        <v>4</v>
      </c>
      <c r="H5" s="11" t="n">
        <v>3</v>
      </c>
      <c r="I5" s="11">
        <f>G5*H5</f>
        <v/>
      </c>
      <c r="J5" s="11" t="inlineStr">
        <is>
          <t>-</t>
        </is>
      </c>
      <c r="K5" s="11" t="n"/>
    </row>
    <row r="6">
      <c r="A6" s="11" t="inlineStr">
        <is>
          <t>PV inverter NB01 to NB04</t>
        </is>
      </c>
      <c r="B6" s="11" t="inlineStr">
        <is>
          <t>PLC box, Modbus TCP</t>
        </is>
      </c>
      <c r="C6" s="11" t="inlineStr">
        <is>
          <t>Frequency</t>
        </is>
      </c>
      <c r="D6" s="11" t="inlineStr">
        <is>
          <t>Read</t>
        </is>
      </c>
      <c r="E6" s="11" t="inlineStr">
        <is>
          <t>Measured</t>
        </is>
      </c>
      <c r="F6" s="11" t="inlineStr">
        <is>
          <t>Hz</t>
        </is>
      </c>
      <c r="G6" s="11" t="n">
        <v>4</v>
      </c>
      <c r="H6" s="11" t="n">
        <v>1</v>
      </c>
      <c r="I6" s="11">
        <f>G6*H6</f>
        <v/>
      </c>
      <c r="J6" s="11" t="inlineStr">
        <is>
          <t>-</t>
        </is>
      </c>
      <c r="K6" s="11" t="n"/>
    </row>
    <row r="7">
      <c r="A7" s="11" t="inlineStr">
        <is>
          <t>PV inverter NB01 to NB04</t>
        </is>
      </c>
      <c r="B7" s="11" t="inlineStr">
        <is>
          <t>PLC box, Modbus TCP</t>
        </is>
      </c>
      <c r="C7" s="11" t="inlineStr">
        <is>
          <t>Power factor</t>
        </is>
      </c>
      <c r="D7" s="11" t="inlineStr">
        <is>
          <t>Read</t>
        </is>
      </c>
      <c r="E7" s="11" t="inlineStr">
        <is>
          <t>Measured</t>
        </is>
      </c>
      <c r="F7" s="11" t="inlineStr">
        <is>
          <t>-</t>
        </is>
      </c>
      <c r="G7" s="11" t="n">
        <v>4</v>
      </c>
      <c r="H7" s="11" t="n">
        <v>1</v>
      </c>
      <c r="I7" s="11">
        <f>G7*H7</f>
        <v/>
      </c>
      <c r="J7" s="11" t="inlineStr">
        <is>
          <t>-</t>
        </is>
      </c>
      <c r="K7" s="11" t="n"/>
    </row>
    <row r="8">
      <c r="A8" s="11" t="inlineStr">
        <is>
          <t>PV inverter NB01 to NB04</t>
        </is>
      </c>
      <c r="B8" s="11" t="inlineStr">
        <is>
          <t>PLC box, Modbus TCP</t>
        </is>
      </c>
      <c r="C8" s="11" t="inlineStr">
        <is>
          <t>DC voltage</t>
        </is>
      </c>
      <c r="D8" s="11" t="inlineStr">
        <is>
          <t>Read</t>
        </is>
      </c>
      <c r="E8" s="11" t="inlineStr">
        <is>
          <t>Measured</t>
        </is>
      </c>
      <c r="F8" s="11" t="inlineStr">
        <is>
          <t>V</t>
        </is>
      </c>
      <c r="G8" s="11" t="n">
        <v>4</v>
      </c>
      <c r="H8" s="11" t="n">
        <v>1</v>
      </c>
      <c r="I8" s="11">
        <f>G8*H8</f>
        <v/>
      </c>
      <c r="J8" s="11" t="inlineStr">
        <is>
          <t>-</t>
        </is>
      </c>
      <c r="K8" s="11" t="n"/>
    </row>
    <row r="9">
      <c r="A9" s="11" t="inlineStr">
        <is>
          <t>PV inverter NB01 to NB04</t>
        </is>
      </c>
      <c r="B9" s="11" t="inlineStr">
        <is>
          <t>PLC box, Modbus TCP</t>
        </is>
      </c>
      <c r="C9" s="11" t="inlineStr">
        <is>
          <t>DC current</t>
        </is>
      </c>
      <c r="D9" s="11" t="inlineStr">
        <is>
          <t>Read</t>
        </is>
      </c>
      <c r="E9" s="11" t="inlineStr">
        <is>
          <t>Measured</t>
        </is>
      </c>
      <c r="F9" s="11" t="inlineStr">
        <is>
          <t>A</t>
        </is>
      </c>
      <c r="G9" s="11" t="n">
        <v>4</v>
      </c>
      <c r="H9" s="11" t="n">
        <v>1</v>
      </c>
      <c r="I9" s="11">
        <f>G9*H9</f>
        <v/>
      </c>
      <c r="J9" s="11" t="inlineStr">
        <is>
          <t>-</t>
        </is>
      </c>
      <c r="K9" s="11" t="n"/>
    </row>
    <row r="10">
      <c r="A10" s="11" t="inlineStr">
        <is>
          <t>PV inverter NB01 to NB04</t>
        </is>
      </c>
      <c r="B10" s="11" t="inlineStr">
        <is>
          <t>PLC box, Modbus TCP</t>
        </is>
      </c>
      <c r="C10" s="11" t="inlineStr">
        <is>
          <t>DC power</t>
        </is>
      </c>
      <c r="D10" s="11" t="inlineStr">
        <is>
          <t>Read</t>
        </is>
      </c>
      <c r="E10" s="11" t="inlineStr">
        <is>
          <t>Measured</t>
        </is>
      </c>
      <c r="F10" s="11" t="inlineStr">
        <is>
          <t>kW</t>
        </is>
      </c>
      <c r="G10" s="11" t="n">
        <v>4</v>
      </c>
      <c r="H10" s="11" t="n">
        <v>1</v>
      </c>
      <c r="I10" s="11">
        <f>G10*H10</f>
        <v/>
      </c>
      <c r="J10" s="11" t="inlineStr">
        <is>
          <t>-</t>
        </is>
      </c>
      <c r="K10" s="11" t="n"/>
    </row>
    <row r="11">
      <c r="A11" s="11" t="inlineStr">
        <is>
          <t>PV inverter NB01 to NB04</t>
        </is>
      </c>
      <c r="B11" s="11" t="inlineStr">
        <is>
          <t>PLC box, Modbus TCP</t>
        </is>
      </c>
      <c r="C11" s="11" t="inlineStr">
        <is>
          <t>Energy today</t>
        </is>
      </c>
      <c r="D11" s="11" t="inlineStr">
        <is>
          <t>Read</t>
        </is>
      </c>
      <c r="E11" s="11" t="inlineStr">
        <is>
          <t>Counter</t>
        </is>
      </c>
      <c r="F11" s="11" t="inlineStr">
        <is>
          <t>kWh</t>
        </is>
      </c>
      <c r="G11" s="11" t="n">
        <v>4</v>
      </c>
      <c r="H11" s="11" t="n">
        <v>1</v>
      </c>
      <c r="I11" s="11">
        <f>G11*H11</f>
        <v/>
      </c>
      <c r="J11" s="11" t="inlineStr">
        <is>
          <t>-</t>
        </is>
      </c>
      <c r="K11" s="11" t="n"/>
    </row>
    <row r="12">
      <c r="A12" s="11" t="inlineStr">
        <is>
          <t>PV inverter NB01 to NB04</t>
        </is>
      </c>
      <c r="B12" s="11" t="inlineStr">
        <is>
          <t>PLC box, Modbus TCP</t>
        </is>
      </c>
      <c r="C12" s="11" t="inlineStr">
        <is>
          <t>Energy total</t>
        </is>
      </c>
      <c r="D12" s="11" t="inlineStr">
        <is>
          <t>Read</t>
        </is>
      </c>
      <c r="E12" s="11" t="inlineStr">
        <is>
          <t>Counter</t>
        </is>
      </c>
      <c r="F12" s="11" t="inlineStr">
        <is>
          <t>MWh</t>
        </is>
      </c>
      <c r="G12" s="11" t="n">
        <v>4</v>
      </c>
      <c r="H12" s="11" t="n">
        <v>1</v>
      </c>
      <c r="I12" s="11">
        <f>G12*H12</f>
        <v/>
      </c>
      <c r="J12" s="11" t="inlineStr">
        <is>
          <t>-</t>
        </is>
      </c>
      <c r="K12" s="11" t="n"/>
    </row>
    <row r="13">
      <c r="A13" s="11" t="inlineStr">
        <is>
          <t>PV inverter NB01 to NB04</t>
        </is>
      </c>
      <c r="B13" s="11" t="inlineStr">
        <is>
          <t>PLC box, Modbus TCP</t>
        </is>
      </c>
      <c r="C13" s="11" t="inlineStr">
        <is>
          <t>Internal temperature</t>
        </is>
      </c>
      <c r="D13" s="11" t="inlineStr">
        <is>
          <t>Read</t>
        </is>
      </c>
      <c r="E13" s="11" t="inlineStr">
        <is>
          <t>Measured</t>
        </is>
      </c>
      <c r="F13" s="11" t="inlineStr">
        <is>
          <t>deg C</t>
        </is>
      </c>
      <c r="G13" s="11" t="n">
        <v>4</v>
      </c>
      <c r="H13" s="11" t="n">
        <v>1</v>
      </c>
      <c r="I13" s="11">
        <f>G13*H13</f>
        <v/>
      </c>
      <c r="J13" s="11" t="inlineStr">
        <is>
          <t>-</t>
        </is>
      </c>
      <c r="K13" s="11" t="n"/>
    </row>
    <row r="14">
      <c r="A14" s="11" t="inlineStr">
        <is>
          <t>PV inverter NB01 to NB04</t>
        </is>
      </c>
      <c r="B14" s="11" t="inlineStr">
        <is>
          <t>PLC box, Modbus TCP</t>
        </is>
      </c>
      <c r="C14" s="11" t="inlineStr">
        <is>
          <t>Insulation resistance</t>
        </is>
      </c>
      <c r="D14" s="11" t="inlineStr">
        <is>
          <t>Read</t>
        </is>
      </c>
      <c r="E14" s="11" t="inlineStr">
        <is>
          <t>Measured</t>
        </is>
      </c>
      <c r="F14" s="11" t="inlineStr">
        <is>
          <t>kohm</t>
        </is>
      </c>
      <c r="G14" s="11" t="n">
        <v>4</v>
      </c>
      <c r="H14" s="11" t="n">
        <v>1</v>
      </c>
      <c r="I14" s="11">
        <f>G14*H14</f>
        <v/>
      </c>
      <c r="J14" s="11" t="inlineStr">
        <is>
          <t>-</t>
        </is>
      </c>
      <c r="K14" s="11" t="n"/>
    </row>
    <row r="15">
      <c r="A15" s="11" t="inlineStr">
        <is>
          <t>PV inverter NB01 to NB04</t>
        </is>
      </c>
      <c r="B15" s="11" t="inlineStr">
        <is>
          <t>PLC box, Modbus TCP</t>
        </is>
      </c>
      <c r="C15" s="11" t="inlineStr">
        <is>
          <t>Operating state</t>
        </is>
      </c>
      <c r="D15" s="11" t="inlineStr">
        <is>
          <t>Read</t>
        </is>
      </c>
      <c r="E15" s="11" t="inlineStr">
        <is>
          <t>Status</t>
        </is>
      </c>
      <c r="F15" s="11" t="inlineStr">
        <is>
          <t>-</t>
        </is>
      </c>
      <c r="G15" s="11" t="n">
        <v>4</v>
      </c>
      <c r="H15" s="11" t="n">
        <v>1</v>
      </c>
      <c r="I15" s="11">
        <f>G15*H15</f>
        <v/>
      </c>
      <c r="J15" s="11" t="inlineStr">
        <is>
          <t>-</t>
        </is>
      </c>
      <c r="K15" s="11" t="n"/>
    </row>
    <row r="16">
      <c r="A16" s="11" t="inlineStr">
        <is>
          <t>PV inverter NB01 to NB04</t>
        </is>
      </c>
      <c r="B16" s="11" t="inlineStr">
        <is>
          <t>PLC box, Modbus TCP</t>
        </is>
      </c>
      <c r="C16" s="11" t="inlineStr">
        <is>
          <t>Fault code</t>
        </is>
      </c>
      <c r="D16" s="11" t="inlineStr">
        <is>
          <t>Read</t>
        </is>
      </c>
      <c r="E16" s="11" t="inlineStr">
        <is>
          <t>Status</t>
        </is>
      </c>
      <c r="F16" s="11" t="inlineStr">
        <is>
          <t>-</t>
        </is>
      </c>
      <c r="G16" s="11" t="n">
        <v>4</v>
      </c>
      <c r="H16" s="11" t="n">
        <v>1</v>
      </c>
      <c r="I16" s="11">
        <f>G16*H16</f>
        <v/>
      </c>
      <c r="J16" s="11" t="inlineStr">
        <is>
          <t>-</t>
        </is>
      </c>
      <c r="K16" s="11" t="n"/>
    </row>
    <row r="17">
      <c r="A17" s="11" t="inlineStr">
        <is>
          <t>PV inverter NB01 to NB04</t>
        </is>
      </c>
      <c r="B17" s="11" t="inlineStr">
        <is>
          <t>PLC box, Modbus TCP</t>
        </is>
      </c>
      <c r="C17" s="11" t="inlineStr">
        <is>
          <t>Alarm code</t>
        </is>
      </c>
      <c r="D17" s="11" t="inlineStr">
        <is>
          <t>Read</t>
        </is>
      </c>
      <c r="E17" s="11" t="inlineStr">
        <is>
          <t>Status</t>
        </is>
      </c>
      <c r="F17" s="11" t="inlineStr">
        <is>
          <t>-</t>
        </is>
      </c>
      <c r="G17" s="11" t="n">
        <v>4</v>
      </c>
      <c r="H17" s="11" t="n">
        <v>1</v>
      </c>
      <c r="I17" s="11">
        <f>G17*H17</f>
        <v/>
      </c>
      <c r="J17" s="11" t="inlineStr">
        <is>
          <t>-</t>
        </is>
      </c>
      <c r="K17" s="11" t="n"/>
    </row>
    <row r="18">
      <c r="A18" s="11" t="inlineStr">
        <is>
          <t>PV inverter NB01 to NB04</t>
        </is>
      </c>
      <c r="B18" s="11" t="inlineStr">
        <is>
          <t>PLC box, Modbus TCP</t>
        </is>
      </c>
      <c r="C18" s="11" t="inlineStr">
        <is>
          <t>Communication healthy</t>
        </is>
      </c>
      <c r="D18" s="11" t="inlineStr">
        <is>
          <t>Read</t>
        </is>
      </c>
      <c r="E18" s="11" t="inlineStr">
        <is>
          <t>Status</t>
        </is>
      </c>
      <c r="F18" s="11" t="inlineStr">
        <is>
          <t>-</t>
        </is>
      </c>
      <c r="G18" s="11" t="n">
        <v>4</v>
      </c>
      <c r="H18" s="11" t="n">
        <v>1</v>
      </c>
      <c r="I18" s="11">
        <f>G18*H18</f>
        <v/>
      </c>
      <c r="J18" s="11" t="inlineStr">
        <is>
          <t>-</t>
        </is>
      </c>
      <c r="K18" s="11" t="n"/>
    </row>
    <row r="19" ht="25.5" customHeight="1">
      <c r="A19" s="11" t="inlineStr">
        <is>
          <t>PV inverter NB01 to NB04</t>
        </is>
      </c>
      <c r="B19" s="11" t="inlineStr">
        <is>
          <t>PLC box, Modbus TCP</t>
        </is>
      </c>
      <c r="C19" s="11" t="inlineStr">
        <is>
          <t>Active power limit</t>
        </is>
      </c>
      <c r="D19" s="11" t="inlineStr">
        <is>
          <t>Write</t>
        </is>
      </c>
      <c r="E19" s="11" t="inlineStr">
        <is>
          <t>Setpoint</t>
        </is>
      </c>
      <c r="F19" s="11" t="inlineStr">
        <is>
          <t>%</t>
        </is>
      </c>
      <c r="G19" s="11" t="n">
        <v>4</v>
      </c>
      <c r="H19" s="11" t="n">
        <v>1</v>
      </c>
      <c r="I19" s="11">
        <f>G19*H19</f>
        <v/>
      </c>
      <c r="J19" s="11" t="inlineStr">
        <is>
          <t>Admin</t>
        </is>
      </c>
      <c r="K19" s="11" t="inlineStr">
        <is>
          <t>Normally set by the EMS; write only if the EMS allows</t>
        </is>
      </c>
    </row>
    <row r="20">
      <c r="A20" s="11" t="inlineStr">
        <is>
          <t>PV inverter NB01 to NB04</t>
        </is>
      </c>
      <c r="B20" s="11" t="inlineStr">
        <is>
          <t>PLC box, Modbus TCP</t>
        </is>
      </c>
      <c r="C20" s="11" t="inlineStr">
        <is>
          <t>Start / stop</t>
        </is>
      </c>
      <c r="D20" s="11" t="inlineStr">
        <is>
          <t>Write</t>
        </is>
      </c>
      <c r="E20" s="11" t="inlineStr">
        <is>
          <t>Command</t>
        </is>
      </c>
      <c r="F20" s="11" t="inlineStr">
        <is>
          <t>-</t>
        </is>
      </c>
      <c r="G20" s="11" t="n">
        <v>4</v>
      </c>
      <c r="H20" s="11" t="n">
        <v>1</v>
      </c>
      <c r="I20" s="11">
        <f>G20*H20</f>
        <v/>
      </c>
      <c r="J20" s="11" t="inlineStr">
        <is>
          <t>Admin</t>
        </is>
      </c>
      <c r="K20" s="11" t="n"/>
    </row>
    <row r="21">
      <c r="A21" s="11" t="inlineStr">
        <is>
          <t>Embedded EMS</t>
        </is>
      </c>
      <c r="B21" s="11" t="inlineStr">
        <is>
          <t>Modbus TCP</t>
        </is>
      </c>
      <c r="C21" s="11" t="inlineStr">
        <is>
          <t>Plant active power</t>
        </is>
      </c>
      <c r="D21" s="11" t="inlineStr">
        <is>
          <t>Read</t>
        </is>
      </c>
      <c r="E21" s="11" t="inlineStr">
        <is>
          <t>Measured</t>
        </is>
      </c>
      <c r="F21" s="11" t="inlineStr">
        <is>
          <t>kW</t>
        </is>
      </c>
      <c r="G21" s="11" t="n">
        <v>1</v>
      </c>
      <c r="H21" s="11" t="n">
        <v>1</v>
      </c>
      <c r="I21" s="11">
        <f>G21*H21</f>
        <v/>
      </c>
      <c r="J21" s="11" t="inlineStr">
        <is>
          <t>-</t>
        </is>
      </c>
      <c r="K21" s="11" t="n"/>
    </row>
    <row r="22">
      <c r="A22" s="11" t="inlineStr">
        <is>
          <t>Embedded EMS</t>
        </is>
      </c>
      <c r="B22" s="11" t="inlineStr">
        <is>
          <t>Modbus TCP</t>
        </is>
      </c>
      <c r="C22" s="11" t="inlineStr">
        <is>
          <t>Plant reactive power</t>
        </is>
      </c>
      <c r="D22" s="11" t="inlineStr">
        <is>
          <t>Read</t>
        </is>
      </c>
      <c r="E22" s="11" t="inlineStr">
        <is>
          <t>Measured</t>
        </is>
      </c>
      <c r="F22" s="11" t="inlineStr">
        <is>
          <t>kvar</t>
        </is>
      </c>
      <c r="G22" s="11" t="n">
        <v>1</v>
      </c>
      <c r="H22" s="11" t="n">
        <v>1</v>
      </c>
      <c r="I22" s="11">
        <f>G22*H22</f>
        <v/>
      </c>
      <c r="J22" s="11" t="inlineStr">
        <is>
          <t>-</t>
        </is>
      </c>
      <c r="K22" s="11" t="n"/>
    </row>
    <row r="23">
      <c r="A23" s="11" t="inlineStr">
        <is>
          <t>Embedded EMS</t>
        </is>
      </c>
      <c r="B23" s="11" t="inlineStr">
        <is>
          <t>Modbus TCP</t>
        </is>
      </c>
      <c r="C23" s="11" t="inlineStr">
        <is>
          <t>PV total power</t>
        </is>
      </c>
      <c r="D23" s="11" t="inlineStr">
        <is>
          <t>Read</t>
        </is>
      </c>
      <c r="E23" s="11" t="inlineStr">
        <is>
          <t>Measured</t>
        </is>
      </c>
      <c r="F23" s="11" t="inlineStr">
        <is>
          <t>kW</t>
        </is>
      </c>
      <c r="G23" s="11" t="n">
        <v>1</v>
      </c>
      <c r="H23" s="11" t="n">
        <v>1</v>
      </c>
      <c r="I23" s="11">
        <f>G23*H23</f>
        <v/>
      </c>
      <c r="J23" s="11" t="inlineStr">
        <is>
          <t>-</t>
        </is>
      </c>
      <c r="K23" s="11" t="n"/>
    </row>
    <row r="24">
      <c r="A24" s="11" t="inlineStr">
        <is>
          <t>Embedded EMS</t>
        </is>
      </c>
      <c r="B24" s="11" t="inlineStr">
        <is>
          <t>Modbus TCP</t>
        </is>
      </c>
      <c r="C24" s="11" t="inlineStr">
        <is>
          <t>BESS power</t>
        </is>
      </c>
      <c r="D24" s="11" t="inlineStr">
        <is>
          <t>Read</t>
        </is>
      </c>
      <c r="E24" s="11" t="inlineStr">
        <is>
          <t>Measured</t>
        </is>
      </c>
      <c r="F24" s="11" t="inlineStr">
        <is>
          <t>kW</t>
        </is>
      </c>
      <c r="G24" s="11" t="n">
        <v>1</v>
      </c>
      <c r="H24" s="11" t="n">
        <v>1</v>
      </c>
      <c r="I24" s="11">
        <f>G24*H24</f>
        <v/>
      </c>
      <c r="J24" s="11" t="inlineStr">
        <is>
          <t>-</t>
        </is>
      </c>
      <c r="K24" s="11" t="n"/>
    </row>
    <row r="25">
      <c r="A25" s="11" t="inlineStr">
        <is>
          <t>Embedded EMS</t>
        </is>
      </c>
      <c r="B25" s="11" t="inlineStr">
        <is>
          <t>Modbus TCP</t>
        </is>
      </c>
      <c r="C25" s="11" t="inlineStr">
        <is>
          <t>Generator total power</t>
        </is>
      </c>
      <c r="D25" s="11" t="inlineStr">
        <is>
          <t>Read</t>
        </is>
      </c>
      <c r="E25" s="11" t="inlineStr">
        <is>
          <t>Measured</t>
        </is>
      </c>
      <c r="F25" s="11" t="inlineStr">
        <is>
          <t>kW</t>
        </is>
      </c>
      <c r="G25" s="11" t="n">
        <v>1</v>
      </c>
      <c r="H25" s="11" t="n">
        <v>1</v>
      </c>
      <c r="I25" s="11">
        <f>G25*H25</f>
        <v/>
      </c>
      <c r="J25" s="11" t="inlineStr">
        <is>
          <t>-</t>
        </is>
      </c>
      <c r="K25" s="11" t="n"/>
    </row>
    <row r="26">
      <c r="A26" s="11" t="inlineStr">
        <is>
          <t>Embedded EMS</t>
        </is>
      </c>
      <c r="B26" s="11" t="inlineStr">
        <is>
          <t>Modbus TCP</t>
        </is>
      </c>
      <c r="C26" s="11" t="inlineStr">
        <is>
          <t>Load power</t>
        </is>
      </c>
      <c r="D26" s="11" t="inlineStr">
        <is>
          <t>Read</t>
        </is>
      </c>
      <c r="E26" s="11" t="inlineStr">
        <is>
          <t>Measured</t>
        </is>
      </c>
      <c r="F26" s="11" t="inlineStr">
        <is>
          <t>kW</t>
        </is>
      </c>
      <c r="G26" s="11" t="n">
        <v>1</v>
      </c>
      <c r="H26" s="11" t="n">
        <v>1</v>
      </c>
      <c r="I26" s="11">
        <f>G26*H26</f>
        <v/>
      </c>
      <c r="J26" s="11" t="inlineStr">
        <is>
          <t>-</t>
        </is>
      </c>
      <c r="K26" s="11" t="n"/>
    </row>
    <row r="27">
      <c r="A27" s="11" t="inlineStr">
        <is>
          <t>Embedded EMS</t>
        </is>
      </c>
      <c r="B27" s="11" t="inlineStr">
        <is>
          <t>Modbus TCP</t>
        </is>
      </c>
      <c r="C27" s="11" t="inlineStr">
        <is>
          <t>Bus voltage</t>
        </is>
      </c>
      <c r="D27" s="11" t="inlineStr">
        <is>
          <t>Read</t>
        </is>
      </c>
      <c r="E27" s="11" t="inlineStr">
        <is>
          <t>Measured</t>
        </is>
      </c>
      <c r="F27" s="11" t="inlineStr">
        <is>
          <t>kV</t>
        </is>
      </c>
      <c r="G27" s="11" t="n">
        <v>1</v>
      </c>
      <c r="H27" s="11" t="n">
        <v>1</v>
      </c>
      <c r="I27" s="11">
        <f>G27*H27</f>
        <v/>
      </c>
      <c r="J27" s="11" t="inlineStr">
        <is>
          <t>-</t>
        </is>
      </c>
      <c r="K27" s="11" t="n"/>
    </row>
    <row r="28">
      <c r="A28" s="11" t="inlineStr">
        <is>
          <t>Embedded EMS</t>
        </is>
      </c>
      <c r="B28" s="11" t="inlineStr">
        <is>
          <t>Modbus TCP</t>
        </is>
      </c>
      <c r="C28" s="11" t="inlineStr">
        <is>
          <t>Bus frequency</t>
        </is>
      </c>
      <c r="D28" s="11" t="inlineStr">
        <is>
          <t>Read</t>
        </is>
      </c>
      <c r="E28" s="11" t="inlineStr">
        <is>
          <t>Measured</t>
        </is>
      </c>
      <c r="F28" s="11" t="inlineStr">
        <is>
          <t>Hz</t>
        </is>
      </c>
      <c r="G28" s="11" t="n">
        <v>1</v>
      </c>
      <c r="H28" s="11" t="n">
        <v>1</v>
      </c>
      <c r="I28" s="11">
        <f>G28*H28</f>
        <v/>
      </c>
      <c r="J28" s="11" t="inlineStr">
        <is>
          <t>-</t>
        </is>
      </c>
      <c r="K28" s="11" t="n"/>
    </row>
    <row r="29">
      <c r="A29" s="11" t="inlineStr">
        <is>
          <t>Embedded EMS</t>
        </is>
      </c>
      <c r="B29" s="11" t="inlineStr">
        <is>
          <t>Modbus TCP</t>
        </is>
      </c>
      <c r="C29" s="11" t="inlineStr">
        <is>
          <t>Operating mode</t>
        </is>
      </c>
      <c r="D29" s="11" t="inlineStr">
        <is>
          <t>Read</t>
        </is>
      </c>
      <c r="E29" s="11" t="inlineStr">
        <is>
          <t>Status</t>
        </is>
      </c>
      <c r="F29" s="11" t="inlineStr">
        <is>
          <t>-</t>
        </is>
      </c>
      <c r="G29" s="11" t="n">
        <v>1</v>
      </c>
      <c r="H29" s="11" t="n">
        <v>1</v>
      </c>
      <c r="I29" s="11">
        <f>G29*H29</f>
        <v/>
      </c>
      <c r="J29" s="11" t="inlineStr">
        <is>
          <t>-</t>
        </is>
      </c>
      <c r="K29" s="11" t="n"/>
    </row>
    <row r="30">
      <c r="A30" s="11" t="inlineStr">
        <is>
          <t>Embedded EMS</t>
        </is>
      </c>
      <c r="B30" s="11" t="inlineStr">
        <is>
          <t>Modbus TCP</t>
        </is>
      </c>
      <c r="C30" s="11" t="inlineStr">
        <is>
          <t>EMS state</t>
        </is>
      </c>
      <c r="D30" s="11" t="inlineStr">
        <is>
          <t>Read</t>
        </is>
      </c>
      <c r="E30" s="11" t="inlineStr">
        <is>
          <t>Status</t>
        </is>
      </c>
      <c r="F30" s="11" t="inlineStr">
        <is>
          <t>-</t>
        </is>
      </c>
      <c r="G30" s="11" t="n">
        <v>1</v>
      </c>
      <c r="H30" s="11" t="n">
        <v>1</v>
      </c>
      <c r="I30" s="11">
        <f>G30*H30</f>
        <v/>
      </c>
      <c r="J30" s="11" t="inlineStr">
        <is>
          <t>-</t>
        </is>
      </c>
      <c r="K30" s="11" t="n"/>
    </row>
    <row r="31">
      <c r="A31" s="11" t="inlineStr">
        <is>
          <t>Embedded EMS</t>
        </is>
      </c>
      <c r="B31" s="11" t="inlineStr">
        <is>
          <t>Modbus TCP</t>
        </is>
      </c>
      <c r="C31" s="11" t="inlineStr">
        <is>
          <t>EMS summary alarm</t>
        </is>
      </c>
      <c r="D31" s="11" t="inlineStr">
        <is>
          <t>Read</t>
        </is>
      </c>
      <c r="E31" s="11" t="inlineStr">
        <is>
          <t>Status</t>
        </is>
      </c>
      <c r="F31" s="11" t="inlineStr">
        <is>
          <t>-</t>
        </is>
      </c>
      <c r="G31" s="11" t="n">
        <v>1</v>
      </c>
      <c r="H31" s="11" t="n">
        <v>1</v>
      </c>
      <c r="I31" s="11">
        <f>G31*H31</f>
        <v/>
      </c>
      <c r="J31" s="11" t="inlineStr">
        <is>
          <t>-</t>
        </is>
      </c>
      <c r="K31" s="11" t="n"/>
    </row>
    <row r="32">
      <c r="A32" s="11" t="inlineStr">
        <is>
          <t>Embedded EMS</t>
        </is>
      </c>
      <c r="B32" s="11" t="inlineStr">
        <is>
          <t>Modbus TCP</t>
        </is>
      </c>
      <c r="C32" s="11" t="inlineStr">
        <is>
          <t>Generator start request</t>
        </is>
      </c>
      <c r="D32" s="11" t="inlineStr">
        <is>
          <t>Read</t>
        </is>
      </c>
      <c r="E32" s="11" t="inlineStr">
        <is>
          <t>Status</t>
        </is>
      </c>
      <c r="F32" s="11" t="inlineStr">
        <is>
          <t>-</t>
        </is>
      </c>
      <c r="G32" s="11" t="n">
        <v>1</v>
      </c>
      <c r="H32" s="11" t="n">
        <v>1</v>
      </c>
      <c r="I32" s="11">
        <f>G32*H32</f>
        <v/>
      </c>
      <c r="J32" s="11" t="inlineStr">
        <is>
          <t>-</t>
        </is>
      </c>
      <c r="K32" s="11" t="n"/>
    </row>
    <row r="33">
      <c r="A33" s="11" t="inlineStr">
        <is>
          <t>Embedded EMS</t>
        </is>
      </c>
      <c r="B33" s="11" t="inlineStr">
        <is>
          <t>Modbus TCP</t>
        </is>
      </c>
      <c r="C33" s="11" t="inlineStr">
        <is>
          <t>PV curtailment active</t>
        </is>
      </c>
      <c r="D33" s="11" t="inlineStr">
        <is>
          <t>Read</t>
        </is>
      </c>
      <c r="E33" s="11" t="inlineStr">
        <is>
          <t>Status</t>
        </is>
      </c>
      <c r="F33" s="11" t="inlineStr">
        <is>
          <t>-</t>
        </is>
      </c>
      <c r="G33" s="11" t="n">
        <v>1</v>
      </c>
      <c r="H33" s="11" t="n">
        <v>1</v>
      </c>
      <c r="I33" s="11">
        <f>G33*H33</f>
        <v/>
      </c>
      <c r="J33" s="11" t="inlineStr">
        <is>
          <t>-</t>
        </is>
      </c>
      <c r="K33" s="11" t="n"/>
    </row>
    <row r="34">
      <c r="A34" s="11" t="inlineStr">
        <is>
          <t>Embedded EMS</t>
        </is>
      </c>
      <c r="B34" s="11" t="inlineStr">
        <is>
          <t>Modbus TCP</t>
        </is>
      </c>
      <c r="C34" s="11" t="inlineStr">
        <is>
          <t>EMS heartbeat</t>
        </is>
      </c>
      <c r="D34" s="11" t="inlineStr">
        <is>
          <t>Read/Write</t>
        </is>
      </c>
      <c r="E34" s="11" t="inlineStr">
        <is>
          <t>Counter</t>
        </is>
      </c>
      <c r="F34" s="11" t="inlineStr">
        <is>
          <t>-</t>
        </is>
      </c>
      <c r="G34" s="11" t="n">
        <v>1</v>
      </c>
      <c r="H34" s="11" t="n">
        <v>1</v>
      </c>
      <c r="I34" s="11">
        <f>G34*H34</f>
        <v/>
      </c>
      <c r="J34" s="11" t="inlineStr">
        <is>
          <t>Automatic</t>
        </is>
      </c>
      <c r="K34" s="11" t="inlineStr">
        <is>
          <t>Link supervision</t>
        </is>
      </c>
    </row>
    <row r="35">
      <c r="A35" s="11" t="inlineStr">
        <is>
          <t>Embedded EMS</t>
        </is>
      </c>
      <c r="B35" s="11" t="inlineStr">
        <is>
          <t>Modbus TCP</t>
        </is>
      </c>
      <c r="C35" s="11" t="inlineStr">
        <is>
          <t>Operating mode select</t>
        </is>
      </c>
      <c r="D35" s="11" t="inlineStr">
        <is>
          <t>Write</t>
        </is>
      </c>
      <c r="E35" s="11" t="inlineStr">
        <is>
          <t>Command</t>
        </is>
      </c>
      <c r="F35" s="11" t="inlineStr">
        <is>
          <t>-</t>
        </is>
      </c>
      <c r="G35" s="11" t="n">
        <v>1</v>
      </c>
      <c r="H35" s="11" t="n">
        <v>1</v>
      </c>
      <c r="I35" s="11">
        <f>G35*H35</f>
        <v/>
      </c>
      <c r="J35" s="11" t="inlineStr">
        <is>
          <t>Admin</t>
        </is>
      </c>
      <c r="K35" s="11" t="n"/>
    </row>
    <row r="36">
      <c r="A36" s="11" t="inlineStr">
        <is>
          <t>Embedded EMS</t>
        </is>
      </c>
      <c r="B36" s="11" t="inlineStr">
        <is>
          <t>Modbus TCP</t>
        </is>
      </c>
      <c r="C36" s="11" t="inlineStr">
        <is>
          <t>State of charge minimum</t>
        </is>
      </c>
      <c r="D36" s="11" t="inlineStr">
        <is>
          <t>Write</t>
        </is>
      </c>
      <c r="E36" s="11" t="inlineStr">
        <is>
          <t>Setpoint</t>
        </is>
      </c>
      <c r="F36" s="11" t="inlineStr">
        <is>
          <t>%</t>
        </is>
      </c>
      <c r="G36" s="11" t="n">
        <v>1</v>
      </c>
      <c r="H36" s="11" t="n">
        <v>1</v>
      </c>
      <c r="I36" s="11">
        <f>G36*H36</f>
        <v/>
      </c>
      <c r="J36" s="11" t="inlineStr">
        <is>
          <t>Admin</t>
        </is>
      </c>
      <c r="K36" s="11" t="n"/>
    </row>
    <row r="37">
      <c r="A37" s="11" t="inlineStr">
        <is>
          <t>Embedded EMS</t>
        </is>
      </c>
      <c r="B37" s="11" t="inlineStr">
        <is>
          <t>Modbus TCP</t>
        </is>
      </c>
      <c r="C37" s="11" t="inlineStr">
        <is>
          <t>State of charge maximum</t>
        </is>
      </c>
      <c r="D37" s="11" t="inlineStr">
        <is>
          <t>Write</t>
        </is>
      </c>
      <c r="E37" s="11" t="inlineStr">
        <is>
          <t>Setpoint</t>
        </is>
      </c>
      <c r="F37" s="11" t="inlineStr">
        <is>
          <t>%</t>
        </is>
      </c>
      <c r="G37" s="11" t="n">
        <v>1</v>
      </c>
      <c r="H37" s="11" t="n">
        <v>1</v>
      </c>
      <c r="I37" s="11">
        <f>G37*H37</f>
        <v/>
      </c>
      <c r="J37" s="11" t="inlineStr">
        <is>
          <t>Admin</t>
        </is>
      </c>
      <c r="K37" s="11" t="n"/>
    </row>
    <row r="38">
      <c r="A38" s="11" t="inlineStr">
        <is>
          <t>Embedded EMS</t>
        </is>
      </c>
      <c r="B38" s="11" t="inlineStr">
        <is>
          <t>Modbus TCP</t>
        </is>
      </c>
      <c r="C38" s="11" t="inlineStr">
        <is>
          <t>Generator start threshold</t>
        </is>
      </c>
      <c r="D38" s="11" t="inlineStr">
        <is>
          <t>Write</t>
        </is>
      </c>
      <c r="E38" s="11" t="inlineStr">
        <is>
          <t>Setpoint</t>
        </is>
      </c>
      <c r="F38" s="11" t="inlineStr">
        <is>
          <t>%</t>
        </is>
      </c>
      <c r="G38" s="11" t="n">
        <v>1</v>
      </c>
      <c r="H38" s="11" t="n">
        <v>1</v>
      </c>
      <c r="I38" s="11">
        <f>G38*H38</f>
        <v/>
      </c>
      <c r="J38" s="11" t="inlineStr">
        <is>
          <t>Admin</t>
        </is>
      </c>
      <c r="K38" s="11" t="n"/>
    </row>
    <row r="39">
      <c r="A39" s="11" t="inlineStr">
        <is>
          <t>Embedded EMS</t>
        </is>
      </c>
      <c r="B39" s="11" t="inlineStr">
        <is>
          <t>Modbus TCP</t>
        </is>
      </c>
      <c r="C39" s="11" t="inlineStr">
        <is>
          <t>Generator stop threshold</t>
        </is>
      </c>
      <c r="D39" s="11" t="inlineStr">
        <is>
          <t>Write</t>
        </is>
      </c>
      <c r="E39" s="11" t="inlineStr">
        <is>
          <t>Setpoint</t>
        </is>
      </c>
      <c r="F39" s="11" t="inlineStr">
        <is>
          <t>%</t>
        </is>
      </c>
      <c r="G39" s="11" t="n">
        <v>1</v>
      </c>
      <c r="H39" s="11" t="n">
        <v>1</v>
      </c>
      <c r="I39" s="11">
        <f>G39*H39</f>
        <v/>
      </c>
      <c r="J39" s="11" t="inlineStr">
        <is>
          <t>Admin</t>
        </is>
      </c>
      <c r="K39" s="11" t="n"/>
    </row>
    <row r="40">
      <c r="A40" s="11" t="inlineStr">
        <is>
          <t>Embedded EMS</t>
        </is>
      </c>
      <c r="B40" s="11" t="inlineStr">
        <is>
          <t>Modbus TCP</t>
        </is>
      </c>
      <c r="C40" s="11" t="inlineStr">
        <is>
          <t>BESS power limit</t>
        </is>
      </c>
      <c r="D40" s="11" t="inlineStr">
        <is>
          <t>Write</t>
        </is>
      </c>
      <c r="E40" s="11" t="inlineStr">
        <is>
          <t>Setpoint</t>
        </is>
      </c>
      <c r="F40" s="11" t="inlineStr">
        <is>
          <t>kW</t>
        </is>
      </c>
      <c r="G40" s="11" t="n">
        <v>1</v>
      </c>
      <c r="H40" s="11" t="n">
        <v>1</v>
      </c>
      <c r="I40" s="11">
        <f>G40*H40</f>
        <v/>
      </c>
      <c r="J40" s="11" t="inlineStr">
        <is>
          <t>Admin</t>
        </is>
      </c>
      <c r="K40" s="11" t="n"/>
    </row>
    <row r="41" ht="25.5" customHeight="1">
      <c r="A41" s="11" t="inlineStr">
        <is>
          <t>Embedded EMS</t>
        </is>
      </c>
      <c r="B41" s="11" t="inlineStr">
        <is>
          <t>Modbus TCP</t>
        </is>
      </c>
      <c r="C41" s="11" t="inlineStr">
        <is>
          <t>BESS C-rate limit enable / disable</t>
        </is>
      </c>
      <c r="D41" s="11" t="inlineStr">
        <is>
          <t>Write</t>
        </is>
      </c>
      <c r="E41" s="11" t="inlineStr">
        <is>
          <t>Command</t>
        </is>
      </c>
      <c r="F41" s="11" t="inlineStr">
        <is>
          <t>-</t>
        </is>
      </c>
      <c r="G41" s="11" t="n">
        <v>1</v>
      </c>
      <c r="H41" s="11" t="n">
        <v>1</v>
      </c>
      <c r="I41" s="11">
        <f>G41*H41</f>
        <v/>
      </c>
      <c r="J41" s="11" t="inlineStr">
        <is>
          <t>Admin</t>
        </is>
      </c>
      <c r="K41" s="11" t="inlineStr">
        <is>
          <t>Calibration only; available only if the EMS exposes it</t>
        </is>
      </c>
    </row>
    <row r="42">
      <c r="A42" s="11" t="inlineStr">
        <is>
          <t>Embedded EMS</t>
        </is>
      </c>
      <c r="B42" s="11" t="inlineStr">
        <is>
          <t>Modbus TCP</t>
        </is>
      </c>
      <c r="C42" s="11" t="inlineStr">
        <is>
          <t>Fault reset, level 3</t>
        </is>
      </c>
      <c r="D42" s="11" t="inlineStr">
        <is>
          <t>Write</t>
        </is>
      </c>
      <c r="E42" s="11" t="inlineStr">
        <is>
          <t>Command</t>
        </is>
      </c>
      <c r="F42" s="11" t="inlineStr">
        <is>
          <t>-</t>
        </is>
      </c>
      <c r="G42" s="11" t="n">
        <v>1</v>
      </c>
      <c r="H42" s="11" t="n">
        <v>1</v>
      </c>
      <c r="I42" s="11">
        <f>G42*H42</f>
        <v/>
      </c>
      <c r="J42" s="11" t="inlineStr">
        <is>
          <t>Operator</t>
        </is>
      </c>
      <c r="K42" s="11" t="n"/>
    </row>
    <row r="43">
      <c r="A43" s="11" t="inlineStr">
        <is>
          <t>Embedded EMS</t>
        </is>
      </c>
      <c r="B43" s="11" t="inlineStr">
        <is>
          <t>Modbus TCP</t>
        </is>
      </c>
      <c r="C43" s="11" t="inlineStr">
        <is>
          <t>Fault reset, levels 1 and 2</t>
        </is>
      </c>
      <c r="D43" s="11" t="inlineStr">
        <is>
          <t>Write</t>
        </is>
      </c>
      <c r="E43" s="11" t="inlineStr">
        <is>
          <t>Command</t>
        </is>
      </c>
      <c r="F43" s="11" t="inlineStr">
        <is>
          <t>-</t>
        </is>
      </c>
      <c r="G43" s="11" t="n">
        <v>1</v>
      </c>
      <c r="H43" s="11" t="n">
        <v>1</v>
      </c>
      <c r="I43" s="11">
        <f>G43*H43</f>
        <v/>
      </c>
      <c r="J43" s="11" t="inlineStr">
        <is>
          <t>Admin</t>
        </is>
      </c>
      <c r="K43" s="11" t="n"/>
    </row>
    <row r="44" ht="25.5" customHeight="1">
      <c r="A44" s="11" t="inlineStr">
        <is>
          <t>Battery system ST3340UX</t>
        </is>
      </c>
      <c r="B44" s="11" t="inlineStr">
        <is>
          <t>Through the EMS, Modbus TCP</t>
        </is>
      </c>
      <c r="C44" s="11" t="inlineStr">
        <is>
          <t>State of charge</t>
        </is>
      </c>
      <c r="D44" s="11" t="inlineStr">
        <is>
          <t>Read</t>
        </is>
      </c>
      <c r="E44" s="11" t="inlineStr">
        <is>
          <t>Measured</t>
        </is>
      </c>
      <c r="F44" s="11" t="inlineStr">
        <is>
          <t>%</t>
        </is>
      </c>
      <c r="G44" s="11" t="n">
        <v>1</v>
      </c>
      <c r="H44" s="11" t="n">
        <v>1</v>
      </c>
      <c r="I44" s="11">
        <f>G44*H44</f>
        <v/>
      </c>
      <c r="J44" s="11" t="inlineStr">
        <is>
          <t>-</t>
        </is>
      </c>
      <c r="K44" s="11" t="n"/>
    </row>
    <row r="45" ht="25.5" customHeight="1">
      <c r="A45" s="11" t="inlineStr">
        <is>
          <t>Battery system ST3340UX</t>
        </is>
      </c>
      <c r="B45" s="11" t="inlineStr">
        <is>
          <t>Through the EMS, Modbus TCP</t>
        </is>
      </c>
      <c r="C45" s="11" t="inlineStr">
        <is>
          <t>State of health</t>
        </is>
      </c>
      <c r="D45" s="11" t="inlineStr">
        <is>
          <t>Read</t>
        </is>
      </c>
      <c r="E45" s="11" t="inlineStr">
        <is>
          <t>Measured</t>
        </is>
      </c>
      <c r="F45" s="11" t="inlineStr">
        <is>
          <t>%</t>
        </is>
      </c>
      <c r="G45" s="11" t="n">
        <v>1</v>
      </c>
      <c r="H45" s="11" t="n">
        <v>1</v>
      </c>
      <c r="I45" s="11">
        <f>G45*H45</f>
        <v/>
      </c>
      <c r="J45" s="11" t="inlineStr">
        <is>
          <t>-</t>
        </is>
      </c>
      <c r="K45" s="11" t="n"/>
    </row>
    <row r="46" ht="25.5" customHeight="1">
      <c r="A46" s="11" t="inlineStr">
        <is>
          <t>Battery system ST3340UX</t>
        </is>
      </c>
      <c r="B46" s="11" t="inlineStr">
        <is>
          <t>Through the EMS, Modbus TCP</t>
        </is>
      </c>
      <c r="C46" s="11" t="inlineStr">
        <is>
          <t>DC voltage</t>
        </is>
      </c>
      <c r="D46" s="11" t="inlineStr">
        <is>
          <t>Read</t>
        </is>
      </c>
      <c r="E46" s="11" t="inlineStr">
        <is>
          <t>Measured</t>
        </is>
      </c>
      <c r="F46" s="11" t="inlineStr">
        <is>
          <t>V</t>
        </is>
      </c>
      <c r="G46" s="11" t="n">
        <v>1</v>
      </c>
      <c r="H46" s="11" t="n">
        <v>1</v>
      </c>
      <c r="I46" s="11">
        <f>G46*H46</f>
        <v/>
      </c>
      <c r="J46" s="11" t="inlineStr">
        <is>
          <t>-</t>
        </is>
      </c>
      <c r="K46" s="11" t="n"/>
    </row>
    <row r="47" ht="25.5" customHeight="1">
      <c r="A47" s="11" t="inlineStr">
        <is>
          <t>Battery system ST3340UX</t>
        </is>
      </c>
      <c r="B47" s="11" t="inlineStr">
        <is>
          <t>Through the EMS, Modbus TCP</t>
        </is>
      </c>
      <c r="C47" s="11" t="inlineStr">
        <is>
          <t>DC current</t>
        </is>
      </c>
      <c r="D47" s="11" t="inlineStr">
        <is>
          <t>Read</t>
        </is>
      </c>
      <c r="E47" s="11" t="inlineStr">
        <is>
          <t>Measured</t>
        </is>
      </c>
      <c r="F47" s="11" t="inlineStr">
        <is>
          <t>A</t>
        </is>
      </c>
      <c r="G47" s="11" t="n">
        <v>1</v>
      </c>
      <c r="H47" s="11" t="n">
        <v>1</v>
      </c>
      <c r="I47" s="11">
        <f>G47*H47</f>
        <v/>
      </c>
      <c r="J47" s="11" t="inlineStr">
        <is>
          <t>-</t>
        </is>
      </c>
      <c r="K47" s="11" t="n"/>
    </row>
    <row r="48" ht="25.5" customHeight="1">
      <c r="A48" s="11" t="inlineStr">
        <is>
          <t>Battery system ST3340UX</t>
        </is>
      </c>
      <c r="B48" s="11" t="inlineStr">
        <is>
          <t>Through the EMS, Modbus TCP</t>
        </is>
      </c>
      <c r="C48" s="11" t="inlineStr">
        <is>
          <t>Active power</t>
        </is>
      </c>
      <c r="D48" s="11" t="inlineStr">
        <is>
          <t>Read</t>
        </is>
      </c>
      <c r="E48" s="11" t="inlineStr">
        <is>
          <t>Measured</t>
        </is>
      </c>
      <c r="F48" s="11" t="inlineStr">
        <is>
          <t>kW</t>
        </is>
      </c>
      <c r="G48" s="11" t="n">
        <v>1</v>
      </c>
      <c r="H48" s="11" t="n">
        <v>1</v>
      </c>
      <c r="I48" s="11">
        <f>G48*H48</f>
        <v/>
      </c>
      <c r="J48" s="11" t="inlineStr">
        <is>
          <t>-</t>
        </is>
      </c>
      <c r="K48" s="11" t="n"/>
    </row>
    <row r="49" ht="25.5" customHeight="1">
      <c r="A49" s="11" t="inlineStr">
        <is>
          <t>Battery system ST3340UX</t>
        </is>
      </c>
      <c r="B49" s="11" t="inlineStr">
        <is>
          <t>Through the EMS, Modbus TCP</t>
        </is>
      </c>
      <c r="C49" s="11" t="inlineStr">
        <is>
          <t>Reactive power</t>
        </is>
      </c>
      <c r="D49" s="11" t="inlineStr">
        <is>
          <t>Read</t>
        </is>
      </c>
      <c r="E49" s="11" t="inlineStr">
        <is>
          <t>Measured</t>
        </is>
      </c>
      <c r="F49" s="11" t="inlineStr">
        <is>
          <t>kvar</t>
        </is>
      </c>
      <c r="G49" s="11" t="n">
        <v>1</v>
      </c>
      <c r="H49" s="11" t="n">
        <v>1</v>
      </c>
      <c r="I49" s="11">
        <f>G49*H49</f>
        <v/>
      </c>
      <c r="J49" s="11" t="inlineStr">
        <is>
          <t>-</t>
        </is>
      </c>
      <c r="K49" s="11" t="n"/>
    </row>
    <row r="50" ht="25.5" customHeight="1">
      <c r="A50" s="11" t="inlineStr">
        <is>
          <t>Battery system ST3340UX</t>
        </is>
      </c>
      <c r="B50" s="11" t="inlineStr">
        <is>
          <t>Through the EMS, Modbus TCP</t>
        </is>
      </c>
      <c r="C50" s="11" t="inlineStr">
        <is>
          <t>Cell voltage maximum</t>
        </is>
      </c>
      <c r="D50" s="11" t="inlineStr">
        <is>
          <t>Read</t>
        </is>
      </c>
      <c r="E50" s="11" t="inlineStr">
        <is>
          <t>Measured</t>
        </is>
      </c>
      <c r="F50" s="11" t="inlineStr">
        <is>
          <t>V</t>
        </is>
      </c>
      <c r="G50" s="11" t="n">
        <v>1</v>
      </c>
      <c r="H50" s="11" t="n">
        <v>1</v>
      </c>
      <c r="I50" s="11">
        <f>G50*H50</f>
        <v/>
      </c>
      <c r="J50" s="11" t="inlineStr">
        <is>
          <t>-</t>
        </is>
      </c>
      <c r="K50" s="11" t="n"/>
    </row>
    <row r="51" ht="25.5" customHeight="1">
      <c r="A51" s="11" t="inlineStr">
        <is>
          <t>Battery system ST3340UX</t>
        </is>
      </c>
      <c r="B51" s="11" t="inlineStr">
        <is>
          <t>Through the EMS, Modbus TCP</t>
        </is>
      </c>
      <c r="C51" s="11" t="inlineStr">
        <is>
          <t>Cell voltage minimum</t>
        </is>
      </c>
      <c r="D51" s="11" t="inlineStr">
        <is>
          <t>Read</t>
        </is>
      </c>
      <c r="E51" s="11" t="inlineStr">
        <is>
          <t>Measured</t>
        </is>
      </c>
      <c r="F51" s="11" t="inlineStr">
        <is>
          <t>V</t>
        </is>
      </c>
      <c r="G51" s="11" t="n">
        <v>1</v>
      </c>
      <c r="H51" s="11" t="n">
        <v>1</v>
      </c>
      <c r="I51" s="11">
        <f>G51*H51</f>
        <v/>
      </c>
      <c r="J51" s="11" t="inlineStr">
        <is>
          <t>-</t>
        </is>
      </c>
      <c r="K51" s="11" t="n"/>
    </row>
    <row r="52" ht="25.5" customHeight="1">
      <c r="A52" s="11" t="inlineStr">
        <is>
          <t>Battery system ST3340UX</t>
        </is>
      </c>
      <c r="B52" s="11" t="inlineStr">
        <is>
          <t>Through the EMS, Modbus TCP</t>
        </is>
      </c>
      <c r="C52" s="11" t="inlineStr">
        <is>
          <t>Cell temperature maximum</t>
        </is>
      </c>
      <c r="D52" s="11" t="inlineStr">
        <is>
          <t>Read</t>
        </is>
      </c>
      <c r="E52" s="11" t="inlineStr">
        <is>
          <t>Measured</t>
        </is>
      </c>
      <c r="F52" s="11" t="inlineStr">
        <is>
          <t>deg C</t>
        </is>
      </c>
      <c r="G52" s="11" t="n">
        <v>1</v>
      </c>
      <c r="H52" s="11" t="n">
        <v>1</v>
      </c>
      <c r="I52" s="11">
        <f>G52*H52</f>
        <v/>
      </c>
      <c r="J52" s="11" t="inlineStr">
        <is>
          <t>-</t>
        </is>
      </c>
      <c r="K52" s="11" t="n"/>
    </row>
    <row r="53" ht="25.5" customHeight="1">
      <c r="A53" s="11" t="inlineStr">
        <is>
          <t>Battery system ST3340UX</t>
        </is>
      </c>
      <c r="B53" s="11" t="inlineStr">
        <is>
          <t>Through the EMS, Modbus TCP</t>
        </is>
      </c>
      <c r="C53" s="11" t="inlineStr">
        <is>
          <t>Cell temperature minimum</t>
        </is>
      </c>
      <c r="D53" s="11" t="inlineStr">
        <is>
          <t>Read</t>
        </is>
      </c>
      <c r="E53" s="11" t="inlineStr">
        <is>
          <t>Measured</t>
        </is>
      </c>
      <c r="F53" s="11" t="inlineStr">
        <is>
          <t>deg C</t>
        </is>
      </c>
      <c r="G53" s="11" t="n">
        <v>1</v>
      </c>
      <c r="H53" s="11" t="n">
        <v>1</v>
      </c>
      <c r="I53" s="11">
        <f>G53*H53</f>
        <v/>
      </c>
      <c r="J53" s="11" t="inlineStr">
        <is>
          <t>-</t>
        </is>
      </c>
      <c r="K53" s="11" t="n"/>
    </row>
    <row r="54" ht="25.5" customHeight="1">
      <c r="A54" s="11" t="inlineStr">
        <is>
          <t>Battery system ST3340UX</t>
        </is>
      </c>
      <c r="B54" s="11" t="inlineStr">
        <is>
          <t>Through the EMS, Modbus TCP</t>
        </is>
      </c>
      <c r="C54" s="11" t="inlineStr">
        <is>
          <t>Charge power limit</t>
        </is>
      </c>
      <c r="D54" s="11" t="inlineStr">
        <is>
          <t>Read</t>
        </is>
      </c>
      <c r="E54" s="11" t="inlineStr">
        <is>
          <t>Measured</t>
        </is>
      </c>
      <c r="F54" s="11" t="inlineStr">
        <is>
          <t>kW</t>
        </is>
      </c>
      <c r="G54" s="11" t="n">
        <v>1</v>
      </c>
      <c r="H54" s="11" t="n">
        <v>1</v>
      </c>
      <c r="I54" s="11">
        <f>G54*H54</f>
        <v/>
      </c>
      <c r="J54" s="11" t="inlineStr">
        <is>
          <t>-</t>
        </is>
      </c>
      <c r="K54" s="11" t="n"/>
    </row>
    <row r="55" ht="25.5" customHeight="1">
      <c r="A55" s="11" t="inlineStr">
        <is>
          <t>Battery system ST3340UX</t>
        </is>
      </c>
      <c r="B55" s="11" t="inlineStr">
        <is>
          <t>Through the EMS, Modbus TCP</t>
        </is>
      </c>
      <c r="C55" s="11" t="inlineStr">
        <is>
          <t>Discharge power limit</t>
        </is>
      </c>
      <c r="D55" s="11" t="inlineStr">
        <is>
          <t>Read</t>
        </is>
      </c>
      <c r="E55" s="11" t="inlineStr">
        <is>
          <t>Measured</t>
        </is>
      </c>
      <c r="F55" s="11" t="inlineStr">
        <is>
          <t>kW</t>
        </is>
      </c>
      <c r="G55" s="11" t="n">
        <v>1</v>
      </c>
      <c r="H55" s="11" t="n">
        <v>1</v>
      </c>
      <c r="I55" s="11">
        <f>G55*H55</f>
        <v/>
      </c>
      <c r="J55" s="11" t="inlineStr">
        <is>
          <t>-</t>
        </is>
      </c>
      <c r="K55" s="11" t="n"/>
    </row>
    <row r="56" ht="25.5" customHeight="1">
      <c r="A56" s="11" t="inlineStr">
        <is>
          <t>Battery system ST3340UX</t>
        </is>
      </c>
      <c r="B56" s="11" t="inlineStr">
        <is>
          <t>Through the EMS, Modbus TCP</t>
        </is>
      </c>
      <c r="C56" s="11" t="inlineStr">
        <is>
          <t>Energy charged total</t>
        </is>
      </c>
      <c r="D56" s="11" t="inlineStr">
        <is>
          <t>Read</t>
        </is>
      </c>
      <c r="E56" s="11" t="inlineStr">
        <is>
          <t>Counter</t>
        </is>
      </c>
      <c r="F56" s="11" t="inlineStr">
        <is>
          <t>MWh</t>
        </is>
      </c>
      <c r="G56" s="11" t="n">
        <v>1</v>
      </c>
      <c r="H56" s="11" t="n">
        <v>1</v>
      </c>
      <c r="I56" s="11">
        <f>G56*H56</f>
        <v/>
      </c>
      <c r="J56" s="11" t="inlineStr">
        <is>
          <t>-</t>
        </is>
      </c>
      <c r="K56" s="11" t="n"/>
    </row>
    <row r="57" ht="25.5" customHeight="1">
      <c r="A57" s="11" t="inlineStr">
        <is>
          <t>Battery system ST3340UX</t>
        </is>
      </c>
      <c r="B57" s="11" t="inlineStr">
        <is>
          <t>Through the EMS, Modbus TCP</t>
        </is>
      </c>
      <c r="C57" s="11" t="inlineStr">
        <is>
          <t>Energy discharged total</t>
        </is>
      </c>
      <c r="D57" s="11" t="inlineStr">
        <is>
          <t>Read</t>
        </is>
      </c>
      <c r="E57" s="11" t="inlineStr">
        <is>
          <t>Counter</t>
        </is>
      </c>
      <c r="F57" s="11" t="inlineStr">
        <is>
          <t>MWh</t>
        </is>
      </c>
      <c r="G57" s="11" t="n">
        <v>1</v>
      </c>
      <c r="H57" s="11" t="n">
        <v>1</v>
      </c>
      <c r="I57" s="11">
        <f>G57*H57</f>
        <v/>
      </c>
      <c r="J57" s="11" t="inlineStr">
        <is>
          <t>-</t>
        </is>
      </c>
      <c r="K57" s="11" t="n"/>
    </row>
    <row r="58" ht="25.5" customHeight="1">
      <c r="A58" s="11" t="inlineStr">
        <is>
          <t>Battery system ST3340UX</t>
        </is>
      </c>
      <c r="B58" s="11" t="inlineStr">
        <is>
          <t>Through the EMS, Modbus TCP</t>
        </is>
      </c>
      <c r="C58" s="11" t="inlineStr">
        <is>
          <t>Converter state</t>
        </is>
      </c>
      <c r="D58" s="11" t="inlineStr">
        <is>
          <t>Read</t>
        </is>
      </c>
      <c r="E58" s="11" t="inlineStr">
        <is>
          <t>Status</t>
        </is>
      </c>
      <c r="F58" s="11" t="inlineStr">
        <is>
          <t>-</t>
        </is>
      </c>
      <c r="G58" s="11" t="n">
        <v>1</v>
      </c>
      <c r="H58" s="11" t="n">
        <v>1</v>
      </c>
      <c r="I58" s="11">
        <f>G58*H58</f>
        <v/>
      </c>
      <c r="J58" s="11" t="inlineStr">
        <is>
          <t>-</t>
        </is>
      </c>
      <c r="K58" s="11" t="n"/>
    </row>
    <row r="59" ht="25.5" customHeight="1">
      <c r="A59" s="11" t="inlineStr">
        <is>
          <t>Battery system ST3340UX</t>
        </is>
      </c>
      <c r="B59" s="11" t="inlineStr">
        <is>
          <t>Through the EMS, Modbus TCP</t>
        </is>
      </c>
      <c r="C59" s="11" t="inlineStr">
        <is>
          <t>Battery management state</t>
        </is>
      </c>
      <c r="D59" s="11" t="inlineStr">
        <is>
          <t>Read</t>
        </is>
      </c>
      <c r="E59" s="11" t="inlineStr">
        <is>
          <t>Status</t>
        </is>
      </c>
      <c r="F59" s="11" t="inlineStr">
        <is>
          <t>-</t>
        </is>
      </c>
      <c r="G59" s="11" t="n">
        <v>1</v>
      </c>
      <c r="H59" s="11" t="n">
        <v>1</v>
      </c>
      <c r="I59" s="11">
        <f>G59*H59</f>
        <v/>
      </c>
      <c r="J59" s="11" t="inlineStr">
        <is>
          <t>-</t>
        </is>
      </c>
      <c r="K59" s="11" t="n"/>
    </row>
    <row r="60" ht="25.5" customHeight="1">
      <c r="A60" s="11" t="inlineStr">
        <is>
          <t>Battery system ST3340UX</t>
        </is>
      </c>
      <c r="B60" s="11" t="inlineStr">
        <is>
          <t>Through the EMS, Modbus TCP</t>
        </is>
      </c>
      <c r="C60" s="11" t="inlineStr">
        <is>
          <t>Racks online</t>
        </is>
      </c>
      <c r="D60" s="11" t="inlineStr">
        <is>
          <t>Read</t>
        </is>
      </c>
      <c r="E60" s="11" t="inlineStr">
        <is>
          <t>Measured</t>
        </is>
      </c>
      <c r="F60" s="11" t="inlineStr">
        <is>
          <t>-</t>
        </is>
      </c>
      <c r="G60" s="11" t="n">
        <v>1</v>
      </c>
      <c r="H60" s="11" t="n">
        <v>1</v>
      </c>
      <c r="I60" s="11">
        <f>G60*H60</f>
        <v/>
      </c>
      <c r="J60" s="11" t="inlineStr">
        <is>
          <t>-</t>
        </is>
      </c>
      <c r="K60" s="11" t="n"/>
    </row>
    <row r="61" ht="25.5" customHeight="1">
      <c r="A61" s="11" t="inlineStr">
        <is>
          <t>Battery system ST3340UX</t>
        </is>
      </c>
      <c r="B61" s="11" t="inlineStr">
        <is>
          <t>Through the EMS, Modbus TCP</t>
        </is>
      </c>
      <c r="C61" s="11" t="inlineStr">
        <is>
          <t>DC contactors closed</t>
        </is>
      </c>
      <c r="D61" s="11" t="inlineStr">
        <is>
          <t>Read</t>
        </is>
      </c>
      <c r="E61" s="11" t="inlineStr">
        <is>
          <t>Status</t>
        </is>
      </c>
      <c r="F61" s="11" t="inlineStr">
        <is>
          <t>-</t>
        </is>
      </c>
      <c r="G61" s="11" t="n">
        <v>1</v>
      </c>
      <c r="H61" s="11" t="n">
        <v>1</v>
      </c>
      <c r="I61" s="11">
        <f>G61*H61</f>
        <v/>
      </c>
      <c r="J61" s="11" t="inlineStr">
        <is>
          <t>-</t>
        </is>
      </c>
      <c r="K61" s="11" t="n"/>
    </row>
    <row r="62" ht="25.5" customHeight="1">
      <c r="A62" s="11" t="inlineStr">
        <is>
          <t>Battery system ST3340UX</t>
        </is>
      </c>
      <c r="B62" s="11" t="inlineStr">
        <is>
          <t>Through the EMS, Modbus TCP</t>
        </is>
      </c>
      <c r="C62" s="11" t="inlineStr">
        <is>
          <t>Cooling system state</t>
        </is>
      </c>
      <c r="D62" s="11" t="inlineStr">
        <is>
          <t>Read</t>
        </is>
      </c>
      <c r="E62" s="11" t="inlineStr">
        <is>
          <t>Status</t>
        </is>
      </c>
      <c r="F62" s="11" t="inlineStr">
        <is>
          <t>-</t>
        </is>
      </c>
      <c r="G62" s="11" t="n">
        <v>1</v>
      </c>
      <c r="H62" s="11" t="n">
        <v>1</v>
      </c>
      <c r="I62" s="11">
        <f>G62*H62</f>
        <v/>
      </c>
      <c r="J62" s="11" t="inlineStr">
        <is>
          <t>-</t>
        </is>
      </c>
      <c r="K62" s="11" t="n"/>
    </row>
    <row r="63" ht="25.5" customHeight="1">
      <c r="A63" s="11" t="inlineStr">
        <is>
          <t>Battery system ST3340UX</t>
        </is>
      </c>
      <c r="B63" s="11" t="inlineStr">
        <is>
          <t>Through the EMS, Modbus TCP</t>
        </is>
      </c>
      <c r="C63" s="11" t="inlineStr">
        <is>
          <t>Alarm level 1</t>
        </is>
      </c>
      <c r="D63" s="11" t="inlineStr">
        <is>
          <t>Read</t>
        </is>
      </c>
      <c r="E63" s="11" t="inlineStr">
        <is>
          <t>Status</t>
        </is>
      </c>
      <c r="F63" s="11" t="inlineStr">
        <is>
          <t>-</t>
        </is>
      </c>
      <c r="G63" s="11" t="n">
        <v>1</v>
      </c>
      <c r="H63" s="11" t="n">
        <v>1</v>
      </c>
      <c r="I63" s="11">
        <f>G63*H63</f>
        <v/>
      </c>
      <c r="J63" s="11" t="inlineStr">
        <is>
          <t>-</t>
        </is>
      </c>
      <c r="K63" s="11" t="n"/>
    </row>
    <row r="64" ht="25.5" customHeight="1">
      <c r="A64" s="11" t="inlineStr">
        <is>
          <t>Battery system ST3340UX</t>
        </is>
      </c>
      <c r="B64" s="11" t="inlineStr">
        <is>
          <t>Through the EMS, Modbus TCP</t>
        </is>
      </c>
      <c r="C64" s="11" t="inlineStr">
        <is>
          <t>Alarm level 2</t>
        </is>
      </c>
      <c r="D64" s="11" t="inlineStr">
        <is>
          <t>Read</t>
        </is>
      </c>
      <c r="E64" s="11" t="inlineStr">
        <is>
          <t>Status</t>
        </is>
      </c>
      <c r="F64" s="11" t="inlineStr">
        <is>
          <t>-</t>
        </is>
      </c>
      <c r="G64" s="11" t="n">
        <v>1</v>
      </c>
      <c r="H64" s="11" t="n">
        <v>1</v>
      </c>
      <c r="I64" s="11">
        <f>G64*H64</f>
        <v/>
      </c>
      <c r="J64" s="11" t="inlineStr">
        <is>
          <t>-</t>
        </is>
      </c>
      <c r="K64" s="11" t="n"/>
    </row>
    <row r="65" ht="25.5" customHeight="1">
      <c r="A65" s="11" t="inlineStr">
        <is>
          <t>Battery system ST3340UX</t>
        </is>
      </c>
      <c r="B65" s="11" t="inlineStr">
        <is>
          <t>Through the EMS, Modbus TCP</t>
        </is>
      </c>
      <c r="C65" s="11" t="inlineStr">
        <is>
          <t>Alarm level 3</t>
        </is>
      </c>
      <c r="D65" s="11" t="inlineStr">
        <is>
          <t>Read</t>
        </is>
      </c>
      <c r="E65" s="11" t="inlineStr">
        <is>
          <t>Status</t>
        </is>
      </c>
      <c r="F65" s="11" t="inlineStr">
        <is>
          <t>-</t>
        </is>
      </c>
      <c r="G65" s="11" t="n">
        <v>1</v>
      </c>
      <c r="H65" s="11" t="n">
        <v>1</v>
      </c>
      <c r="I65" s="11">
        <f>G65*H65</f>
        <v/>
      </c>
      <c r="J65" s="11" t="inlineStr">
        <is>
          <t>-</t>
        </is>
      </c>
      <c r="K65" s="11" t="n"/>
    </row>
    <row r="66" ht="25.5" customHeight="1">
      <c r="A66" s="11" t="inlineStr">
        <is>
          <t>Battery system ST3340UX</t>
        </is>
      </c>
      <c r="B66" s="11" t="inlineStr">
        <is>
          <t>Through the EMS, Modbus TCP</t>
        </is>
      </c>
      <c r="C66" s="11" t="inlineStr">
        <is>
          <t>Container fire status</t>
        </is>
      </c>
      <c r="D66" s="11" t="inlineStr">
        <is>
          <t>Read</t>
        </is>
      </c>
      <c r="E66" s="11" t="inlineStr">
        <is>
          <t>Status</t>
        </is>
      </c>
      <c r="F66" s="11" t="inlineStr">
        <is>
          <t>-</t>
        </is>
      </c>
      <c r="G66" s="11" t="n">
        <v>1</v>
      </c>
      <c r="H66" s="11" t="n">
        <v>1</v>
      </c>
      <c r="I66" s="11">
        <f>G66*H66</f>
        <v/>
      </c>
      <c r="J66" s="11" t="inlineStr">
        <is>
          <t>-</t>
        </is>
      </c>
      <c r="K66" s="11" t="n"/>
    </row>
    <row r="67">
      <c r="A67" s="11" t="inlineStr">
        <is>
          <t>Battery system ST3340UX</t>
        </is>
      </c>
      <c r="B67" s="11" t="inlineStr">
        <is>
          <t>Through the EMS, Modbus TCP</t>
        </is>
      </c>
      <c r="C67" s="11" t="inlineStr">
        <is>
          <t>Battery combiner panel DC switch closed (2 points)</t>
        </is>
      </c>
      <c r="D67" s="11" t="inlineStr">
        <is>
          <t>Read</t>
        </is>
      </c>
      <c r="E67" s="11" t="inlineStr">
        <is>
          <t>Status</t>
        </is>
      </c>
      <c r="F67" s="11" t="inlineStr">
        <is>
          <t>-</t>
        </is>
      </c>
      <c r="G67" s="11" t="n">
        <v>1</v>
      </c>
      <c r="H67" s="11" t="n">
        <v>2</v>
      </c>
      <c r="I67" s="11">
        <f>G67*H67</f>
        <v/>
      </c>
      <c r="J67" s="11" t="inlineStr">
        <is>
          <t>-</t>
        </is>
      </c>
      <c r="K67" s="11" t="inlineStr">
        <is>
          <t>Added rev 1. Combiner panels BCP unit 1# and 2#, if the EMS exposes them</t>
        </is>
      </c>
    </row>
    <row r="68">
      <c r="A68" s="11" t="inlineStr">
        <is>
          <t>Battery system ST3340UX</t>
        </is>
      </c>
      <c r="B68" s="11" t="inlineStr">
        <is>
          <t>Through the EMS, Modbus TCP</t>
        </is>
      </c>
      <c r="C68" s="11" t="inlineStr">
        <is>
          <t>Battery combiner panel fuse blown (2 points)</t>
        </is>
      </c>
      <c r="D68" s="11" t="inlineStr">
        <is>
          <t>Read</t>
        </is>
      </c>
      <c r="E68" s="11" t="inlineStr">
        <is>
          <t>Status</t>
        </is>
      </c>
      <c r="F68" s="11" t="inlineStr">
        <is>
          <t>-</t>
        </is>
      </c>
      <c r="G68" s="11" t="n">
        <v>1</v>
      </c>
      <c r="H68" s="11" t="n">
        <v>2</v>
      </c>
      <c r="I68" s="11">
        <f>G68*H68</f>
        <v/>
      </c>
      <c r="J68" s="11" t="inlineStr">
        <is>
          <t>-</t>
        </is>
      </c>
      <c r="K68" s="11" t="inlineStr">
        <is>
          <t>Added rev 1. As above</t>
        </is>
      </c>
    </row>
    <row r="69">
      <c r="A69" s="11" t="inlineStr">
        <is>
          <t>Generator controller DG1, DG2</t>
        </is>
      </c>
      <c r="B69" s="11" t="inlineStr">
        <is>
          <t>Modbus TCP or RTU</t>
        </is>
      </c>
      <c r="C69" s="11" t="inlineStr">
        <is>
          <t>Voltage L1, L2, L3 (3 points)</t>
        </is>
      </c>
      <c r="D69" s="11" t="inlineStr">
        <is>
          <t>Read</t>
        </is>
      </c>
      <c r="E69" s="11" t="inlineStr">
        <is>
          <t>Measured</t>
        </is>
      </c>
      <c r="F69" s="11" t="inlineStr">
        <is>
          <t>V</t>
        </is>
      </c>
      <c r="G69" s="11" t="n">
        <v>2</v>
      </c>
      <c r="H69" s="11" t="n">
        <v>3</v>
      </c>
      <c r="I69" s="11">
        <f>G69*H69</f>
        <v/>
      </c>
      <c r="J69" s="11" t="inlineStr">
        <is>
          <t>-</t>
        </is>
      </c>
      <c r="K69" s="11" t="n"/>
    </row>
    <row r="70">
      <c r="A70" s="11" t="inlineStr">
        <is>
          <t>Generator controller DG1, DG2</t>
        </is>
      </c>
      <c r="B70" s="11" t="inlineStr">
        <is>
          <t>Modbus TCP or RTU</t>
        </is>
      </c>
      <c r="C70" s="11" t="inlineStr">
        <is>
          <t>Current L1, L2, L3 (3 points)</t>
        </is>
      </c>
      <c r="D70" s="11" t="inlineStr">
        <is>
          <t>Read</t>
        </is>
      </c>
      <c r="E70" s="11" t="inlineStr">
        <is>
          <t>Measured</t>
        </is>
      </c>
      <c r="F70" s="11" t="inlineStr">
        <is>
          <t>A</t>
        </is>
      </c>
      <c r="G70" s="11" t="n">
        <v>2</v>
      </c>
      <c r="H70" s="11" t="n">
        <v>3</v>
      </c>
      <c r="I70" s="11">
        <f>G70*H70</f>
        <v/>
      </c>
      <c r="J70" s="11" t="inlineStr">
        <is>
          <t>-</t>
        </is>
      </c>
      <c r="K70" s="11" t="n"/>
    </row>
    <row r="71">
      <c r="A71" s="11" t="inlineStr">
        <is>
          <t>Generator controller DG1, DG2</t>
        </is>
      </c>
      <c r="B71" s="11" t="inlineStr">
        <is>
          <t>Modbus TCP or RTU</t>
        </is>
      </c>
      <c r="C71" s="11" t="inlineStr">
        <is>
          <t>Active power</t>
        </is>
      </c>
      <c r="D71" s="11" t="inlineStr">
        <is>
          <t>Read</t>
        </is>
      </c>
      <c r="E71" s="11" t="inlineStr">
        <is>
          <t>Measured</t>
        </is>
      </c>
      <c r="F71" s="11" t="inlineStr">
        <is>
          <t>kW</t>
        </is>
      </c>
      <c r="G71" s="11" t="n">
        <v>2</v>
      </c>
      <c r="H71" s="11" t="n">
        <v>1</v>
      </c>
      <c r="I71" s="11">
        <f>G71*H71</f>
        <v/>
      </c>
      <c r="J71" s="11" t="inlineStr">
        <is>
          <t>-</t>
        </is>
      </c>
      <c r="K71" s="11" t="n"/>
    </row>
    <row r="72">
      <c r="A72" s="11" t="inlineStr">
        <is>
          <t>Generator controller DG1, DG2</t>
        </is>
      </c>
      <c r="B72" s="11" t="inlineStr">
        <is>
          <t>Modbus TCP or RTU</t>
        </is>
      </c>
      <c r="C72" s="11" t="inlineStr">
        <is>
          <t>Reactive power</t>
        </is>
      </c>
      <c r="D72" s="11" t="inlineStr">
        <is>
          <t>Read</t>
        </is>
      </c>
      <c r="E72" s="11" t="inlineStr">
        <is>
          <t>Measured</t>
        </is>
      </c>
      <c r="F72" s="11" t="inlineStr">
        <is>
          <t>kvar</t>
        </is>
      </c>
      <c r="G72" s="11" t="n">
        <v>2</v>
      </c>
      <c r="H72" s="11" t="n">
        <v>1</v>
      </c>
      <c r="I72" s="11">
        <f>G72*H72</f>
        <v/>
      </c>
      <c r="J72" s="11" t="inlineStr">
        <is>
          <t>-</t>
        </is>
      </c>
      <c r="K72" s="11" t="n"/>
    </row>
    <row r="73">
      <c r="A73" s="11" t="inlineStr">
        <is>
          <t>Generator controller DG1, DG2</t>
        </is>
      </c>
      <c r="B73" s="11" t="inlineStr">
        <is>
          <t>Modbus TCP or RTU</t>
        </is>
      </c>
      <c r="C73" s="11" t="inlineStr">
        <is>
          <t>Power factor</t>
        </is>
      </c>
      <c r="D73" s="11" t="inlineStr">
        <is>
          <t>Read</t>
        </is>
      </c>
      <c r="E73" s="11" t="inlineStr">
        <is>
          <t>Measured</t>
        </is>
      </c>
      <c r="F73" s="11" t="inlineStr">
        <is>
          <t>-</t>
        </is>
      </c>
      <c r="G73" s="11" t="n">
        <v>2</v>
      </c>
      <c r="H73" s="11" t="n">
        <v>1</v>
      </c>
      <c r="I73" s="11">
        <f>G73*H73</f>
        <v/>
      </c>
      <c r="J73" s="11" t="inlineStr">
        <is>
          <t>-</t>
        </is>
      </c>
      <c r="K73" s="11" t="n"/>
    </row>
    <row r="74">
      <c r="A74" s="11" t="inlineStr">
        <is>
          <t>Generator controller DG1, DG2</t>
        </is>
      </c>
      <c r="B74" s="11" t="inlineStr">
        <is>
          <t>Modbus TCP or RTU</t>
        </is>
      </c>
      <c r="C74" s="11" t="inlineStr">
        <is>
          <t>Frequency</t>
        </is>
      </c>
      <c r="D74" s="11" t="inlineStr">
        <is>
          <t>Read</t>
        </is>
      </c>
      <c r="E74" s="11" t="inlineStr">
        <is>
          <t>Measured</t>
        </is>
      </c>
      <c r="F74" s="11" t="inlineStr">
        <is>
          <t>Hz</t>
        </is>
      </c>
      <c r="G74" s="11" t="n">
        <v>2</v>
      </c>
      <c r="H74" s="11" t="n">
        <v>1</v>
      </c>
      <c r="I74" s="11">
        <f>G74*H74</f>
        <v/>
      </c>
      <c r="J74" s="11" t="inlineStr">
        <is>
          <t>-</t>
        </is>
      </c>
      <c r="K74" s="11" t="n"/>
    </row>
    <row r="75">
      <c r="A75" s="11" t="inlineStr">
        <is>
          <t>Generator controller DG1, DG2</t>
        </is>
      </c>
      <c r="B75" s="11" t="inlineStr">
        <is>
          <t>Modbus TCP or RTU</t>
        </is>
      </c>
      <c r="C75" s="11" t="inlineStr">
        <is>
          <t>Oil pressure</t>
        </is>
      </c>
      <c r="D75" s="11" t="inlineStr">
        <is>
          <t>Read</t>
        </is>
      </c>
      <c r="E75" s="11" t="inlineStr">
        <is>
          <t>Measured</t>
        </is>
      </c>
      <c r="F75" s="11" t="inlineStr">
        <is>
          <t>kPa</t>
        </is>
      </c>
      <c r="G75" s="11" t="n">
        <v>2</v>
      </c>
      <c r="H75" s="11" t="n">
        <v>1</v>
      </c>
      <c r="I75" s="11">
        <f>G75*H75</f>
        <v/>
      </c>
      <c r="J75" s="11" t="inlineStr">
        <is>
          <t>-</t>
        </is>
      </c>
      <c r="K75" s="11" t="n"/>
    </row>
    <row r="76">
      <c r="A76" s="11" t="inlineStr">
        <is>
          <t>Generator controller DG1, DG2</t>
        </is>
      </c>
      <c r="B76" s="11" t="inlineStr">
        <is>
          <t>Modbus TCP or RTU</t>
        </is>
      </c>
      <c r="C76" s="11" t="inlineStr">
        <is>
          <t>Coolant temperature</t>
        </is>
      </c>
      <c r="D76" s="11" t="inlineStr">
        <is>
          <t>Read</t>
        </is>
      </c>
      <c r="E76" s="11" t="inlineStr">
        <is>
          <t>Measured</t>
        </is>
      </c>
      <c r="F76" s="11" t="inlineStr">
        <is>
          <t>deg C</t>
        </is>
      </c>
      <c r="G76" s="11" t="n">
        <v>2</v>
      </c>
      <c r="H76" s="11" t="n">
        <v>1</v>
      </c>
      <c r="I76" s="11">
        <f>G76*H76</f>
        <v/>
      </c>
      <c r="J76" s="11" t="inlineStr">
        <is>
          <t>-</t>
        </is>
      </c>
      <c r="K76" s="11" t="n"/>
    </row>
    <row r="77">
      <c r="A77" s="11" t="inlineStr">
        <is>
          <t>Generator controller DG1, DG2</t>
        </is>
      </c>
      <c r="B77" s="11" t="inlineStr">
        <is>
          <t>Modbus TCP or RTU</t>
        </is>
      </c>
      <c r="C77" s="11" t="inlineStr">
        <is>
          <t>Starter battery voltage</t>
        </is>
      </c>
      <c r="D77" s="11" t="inlineStr">
        <is>
          <t>Read</t>
        </is>
      </c>
      <c r="E77" s="11" t="inlineStr">
        <is>
          <t>Measured</t>
        </is>
      </c>
      <c r="F77" s="11" t="inlineStr">
        <is>
          <t>V</t>
        </is>
      </c>
      <c r="G77" s="11" t="n">
        <v>2</v>
      </c>
      <c r="H77" s="11" t="n">
        <v>1</v>
      </c>
      <c r="I77" s="11">
        <f>G77*H77</f>
        <v/>
      </c>
      <c r="J77" s="11" t="inlineStr">
        <is>
          <t>-</t>
        </is>
      </c>
      <c r="K77" s="11" t="n"/>
    </row>
    <row r="78">
      <c r="A78" s="11" t="inlineStr">
        <is>
          <t>Generator controller DG1, DG2</t>
        </is>
      </c>
      <c r="B78" s="11" t="inlineStr">
        <is>
          <t>Modbus TCP or RTU</t>
        </is>
      </c>
      <c r="C78" s="11" t="inlineStr">
        <is>
          <t>Fuel level</t>
        </is>
      </c>
      <c r="D78" s="11" t="inlineStr">
        <is>
          <t>Read</t>
        </is>
      </c>
      <c r="E78" s="11" t="inlineStr">
        <is>
          <t>Measured</t>
        </is>
      </c>
      <c r="F78" s="11" t="inlineStr">
        <is>
          <t>%</t>
        </is>
      </c>
      <c r="G78" s="11" t="n">
        <v>2</v>
      </c>
      <c r="H78" s="11" t="n">
        <v>1</v>
      </c>
      <c r="I78" s="11">
        <f>G78*H78</f>
        <v/>
      </c>
      <c r="J78" s="11" t="inlineStr">
        <is>
          <t>-</t>
        </is>
      </c>
      <c r="K78" s="11" t="n"/>
    </row>
    <row r="79">
      <c r="A79" s="11" t="inlineStr">
        <is>
          <t>Generator controller DG1, DG2</t>
        </is>
      </c>
      <c r="B79" s="11" t="inlineStr">
        <is>
          <t>Modbus TCP or RTU</t>
        </is>
      </c>
      <c r="C79" s="11" t="inlineStr">
        <is>
          <t>Running hours</t>
        </is>
      </c>
      <c r="D79" s="11" t="inlineStr">
        <is>
          <t>Read</t>
        </is>
      </c>
      <c r="E79" s="11" t="inlineStr">
        <is>
          <t>Counter</t>
        </is>
      </c>
      <c r="F79" s="11" t="inlineStr">
        <is>
          <t>h</t>
        </is>
      </c>
      <c r="G79" s="11" t="n">
        <v>2</v>
      </c>
      <c r="H79" s="11" t="n">
        <v>1</v>
      </c>
      <c r="I79" s="11">
        <f>G79*H79</f>
        <v/>
      </c>
      <c r="J79" s="11" t="inlineStr">
        <is>
          <t>-</t>
        </is>
      </c>
      <c r="K79" s="11" t="n"/>
    </row>
    <row r="80">
      <c r="A80" s="11" t="inlineStr">
        <is>
          <t>Generator controller DG1, DG2</t>
        </is>
      </c>
      <c r="B80" s="11" t="inlineStr">
        <is>
          <t>Modbus TCP or RTU</t>
        </is>
      </c>
      <c r="C80" s="11" t="inlineStr">
        <is>
          <t>Number of starts</t>
        </is>
      </c>
      <c r="D80" s="11" t="inlineStr">
        <is>
          <t>Read</t>
        </is>
      </c>
      <c r="E80" s="11" t="inlineStr">
        <is>
          <t>Counter</t>
        </is>
      </c>
      <c r="F80" s="11" t="inlineStr">
        <is>
          <t>-</t>
        </is>
      </c>
      <c r="G80" s="11" t="n">
        <v>2</v>
      </c>
      <c r="H80" s="11" t="n">
        <v>1</v>
      </c>
      <c r="I80" s="11">
        <f>G80*H80</f>
        <v/>
      </c>
      <c r="J80" s="11" t="inlineStr">
        <is>
          <t>-</t>
        </is>
      </c>
      <c r="K80" s="11" t="n"/>
    </row>
    <row r="81">
      <c r="A81" s="11" t="inlineStr">
        <is>
          <t>Generator controller DG1, DG2</t>
        </is>
      </c>
      <c r="B81" s="11" t="inlineStr">
        <is>
          <t>Modbus TCP or RTU</t>
        </is>
      </c>
      <c r="C81" s="11" t="inlineStr">
        <is>
          <t>Energy total</t>
        </is>
      </c>
      <c r="D81" s="11" t="inlineStr">
        <is>
          <t>Read</t>
        </is>
      </c>
      <c r="E81" s="11" t="inlineStr">
        <is>
          <t>Counter</t>
        </is>
      </c>
      <c r="F81" s="11" t="inlineStr">
        <is>
          <t>MWh</t>
        </is>
      </c>
      <c r="G81" s="11" t="n">
        <v>2</v>
      </c>
      <c r="H81" s="11" t="n">
        <v>1</v>
      </c>
      <c r="I81" s="11">
        <f>G81*H81</f>
        <v/>
      </c>
      <c r="J81" s="11" t="inlineStr">
        <is>
          <t>-</t>
        </is>
      </c>
      <c r="K81" s="11" t="n"/>
    </row>
    <row r="82">
      <c r="A82" s="11" t="inlineStr">
        <is>
          <t>Generator controller DG1, DG2</t>
        </is>
      </c>
      <c r="B82" s="11" t="inlineStr">
        <is>
          <t>Modbus TCP or RTU</t>
        </is>
      </c>
      <c r="C82" s="11" t="inlineStr">
        <is>
          <t>Controller mode</t>
        </is>
      </c>
      <c r="D82" s="11" t="inlineStr">
        <is>
          <t>Read</t>
        </is>
      </c>
      <c r="E82" s="11" t="inlineStr">
        <is>
          <t>Status</t>
        </is>
      </c>
      <c r="F82" s="11" t="inlineStr">
        <is>
          <t>-</t>
        </is>
      </c>
      <c r="G82" s="11" t="n">
        <v>2</v>
      </c>
      <c r="H82" s="11" t="n">
        <v>1</v>
      </c>
      <c r="I82" s="11">
        <f>G82*H82</f>
        <v/>
      </c>
      <c r="J82" s="11" t="inlineStr">
        <is>
          <t>-</t>
        </is>
      </c>
      <c r="K82" s="11" t="n"/>
    </row>
    <row r="83">
      <c r="A83" s="11" t="inlineStr">
        <is>
          <t>Generator controller DG1, DG2</t>
        </is>
      </c>
      <c r="B83" s="11" t="inlineStr">
        <is>
          <t>Modbus TCP or RTU</t>
        </is>
      </c>
      <c r="C83" s="11" t="inlineStr">
        <is>
          <t>Breaker status</t>
        </is>
      </c>
      <c r="D83" s="11" t="inlineStr">
        <is>
          <t>Read</t>
        </is>
      </c>
      <c r="E83" s="11" t="inlineStr">
        <is>
          <t>Status</t>
        </is>
      </c>
      <c r="F83" s="11" t="inlineStr">
        <is>
          <t>-</t>
        </is>
      </c>
      <c r="G83" s="11" t="n">
        <v>2</v>
      </c>
      <c r="H83" s="11" t="n">
        <v>1</v>
      </c>
      <c r="I83" s="11">
        <f>G83*H83</f>
        <v/>
      </c>
      <c r="J83" s="11" t="inlineStr">
        <is>
          <t>-</t>
        </is>
      </c>
      <c r="K83" s="11" t="n"/>
    </row>
    <row r="84">
      <c r="A84" s="11" t="inlineStr">
        <is>
          <t>Generator controller DG1, DG2</t>
        </is>
      </c>
      <c r="B84" s="11" t="inlineStr">
        <is>
          <t>Modbus TCP or RTU</t>
        </is>
      </c>
      <c r="C84" s="11" t="inlineStr">
        <is>
          <t>Warning</t>
        </is>
      </c>
      <c r="D84" s="11" t="inlineStr">
        <is>
          <t>Read</t>
        </is>
      </c>
      <c r="E84" s="11" t="inlineStr">
        <is>
          <t>Status</t>
        </is>
      </c>
      <c r="F84" s="11" t="inlineStr">
        <is>
          <t>-</t>
        </is>
      </c>
      <c r="G84" s="11" t="n">
        <v>2</v>
      </c>
      <c r="H84" s="11" t="n">
        <v>1</v>
      </c>
      <c r="I84" s="11">
        <f>G84*H84</f>
        <v/>
      </c>
      <c r="J84" s="11" t="inlineStr">
        <is>
          <t>-</t>
        </is>
      </c>
      <c r="K84" s="11" t="n"/>
    </row>
    <row r="85">
      <c r="A85" s="11" t="inlineStr">
        <is>
          <t>Generator controller DG1, DG2</t>
        </is>
      </c>
      <c r="B85" s="11" t="inlineStr">
        <is>
          <t>Modbus TCP or RTU</t>
        </is>
      </c>
      <c r="C85" s="11" t="inlineStr">
        <is>
          <t>Shutdown alarm</t>
        </is>
      </c>
      <c r="D85" s="11" t="inlineStr">
        <is>
          <t>Read</t>
        </is>
      </c>
      <c r="E85" s="11" t="inlineStr">
        <is>
          <t>Status</t>
        </is>
      </c>
      <c r="F85" s="11" t="inlineStr">
        <is>
          <t>-</t>
        </is>
      </c>
      <c r="G85" s="11" t="n">
        <v>2</v>
      </c>
      <c r="H85" s="11" t="n">
        <v>1</v>
      </c>
      <c r="I85" s="11">
        <f>G85*H85</f>
        <v/>
      </c>
      <c r="J85" s="11" t="inlineStr">
        <is>
          <t>-</t>
        </is>
      </c>
      <c r="K85" s="11" t="n"/>
    </row>
    <row r="86">
      <c r="A86" s="11" t="inlineStr">
        <is>
          <t>Generator controller DG1, DG2</t>
        </is>
      </c>
      <c r="B86" s="11" t="inlineStr">
        <is>
          <t>Modbus TCP or RTU</t>
        </is>
      </c>
      <c r="C86" s="11" t="inlineStr">
        <is>
          <t>Start</t>
        </is>
      </c>
      <c r="D86" s="11" t="inlineStr">
        <is>
          <t>Write</t>
        </is>
      </c>
      <c r="E86" s="11" t="inlineStr">
        <is>
          <t>Command</t>
        </is>
      </c>
      <c r="F86" s="11" t="inlineStr">
        <is>
          <t>-</t>
        </is>
      </c>
      <c r="G86" s="11" t="n">
        <v>2</v>
      </c>
      <c r="H86" s="11" t="n">
        <v>1</v>
      </c>
      <c r="I86" s="11">
        <f>G86*H86</f>
        <v/>
      </c>
      <c r="J86" s="11" t="inlineStr">
        <is>
          <t>Operator</t>
        </is>
      </c>
      <c r="K86" s="11" t="inlineStr">
        <is>
          <t>Only in manual mode</t>
        </is>
      </c>
    </row>
    <row r="87">
      <c r="A87" s="11" t="inlineStr">
        <is>
          <t>Generator controller DG1, DG2</t>
        </is>
      </c>
      <c r="B87" s="11" t="inlineStr">
        <is>
          <t>Modbus TCP or RTU</t>
        </is>
      </c>
      <c r="C87" s="11" t="inlineStr">
        <is>
          <t>Stop</t>
        </is>
      </c>
      <c r="D87" s="11" t="inlineStr">
        <is>
          <t>Write</t>
        </is>
      </c>
      <c r="E87" s="11" t="inlineStr">
        <is>
          <t>Command</t>
        </is>
      </c>
      <c r="F87" s="11" t="inlineStr">
        <is>
          <t>-</t>
        </is>
      </c>
      <c r="G87" s="11" t="n">
        <v>2</v>
      </c>
      <c r="H87" s="11" t="n">
        <v>1</v>
      </c>
      <c r="I87" s="11">
        <f>G87*H87</f>
        <v/>
      </c>
      <c r="J87" s="11" t="inlineStr">
        <is>
          <t>Operator</t>
        </is>
      </c>
      <c r="K87" s="11" t="inlineStr">
        <is>
          <t>Only in manual mode</t>
        </is>
      </c>
    </row>
    <row r="88">
      <c r="A88" s="11" t="inlineStr">
        <is>
          <t>Generator controller DG1, DG2</t>
        </is>
      </c>
      <c r="B88" s="11" t="inlineStr">
        <is>
          <t>Modbus TCP or RTU</t>
        </is>
      </c>
      <c r="C88" s="11" t="inlineStr">
        <is>
          <t>Mode auto / manual</t>
        </is>
      </c>
      <c r="D88" s="11" t="inlineStr">
        <is>
          <t>Write</t>
        </is>
      </c>
      <c r="E88" s="11" t="inlineStr">
        <is>
          <t>Command</t>
        </is>
      </c>
      <c r="F88" s="11" t="inlineStr">
        <is>
          <t>-</t>
        </is>
      </c>
      <c r="G88" s="11" t="n">
        <v>2</v>
      </c>
      <c r="H88" s="11" t="n">
        <v>1</v>
      </c>
      <c r="I88" s="11">
        <f>G88*H88</f>
        <v/>
      </c>
      <c r="J88" s="11" t="inlineStr">
        <is>
          <t>Admin</t>
        </is>
      </c>
      <c r="K88" s="11" t="n"/>
    </row>
    <row r="89">
      <c r="A89" s="11" t="inlineStr">
        <is>
          <t>11 kV protection relay AH1 to AH7</t>
        </is>
      </c>
      <c r="B89" s="11" t="inlineStr">
        <is>
          <t>IEC 61850 or Modbus TCP</t>
        </is>
      </c>
      <c r="C89" s="11" t="inlineStr">
        <is>
          <t>Phase current L1, L2, L3 (3 points)</t>
        </is>
      </c>
      <c r="D89" s="11" t="inlineStr">
        <is>
          <t>Read</t>
        </is>
      </c>
      <c r="E89" s="11" t="inlineStr">
        <is>
          <t>Measured</t>
        </is>
      </c>
      <c r="F89" s="11" t="inlineStr">
        <is>
          <t>A</t>
        </is>
      </c>
      <c r="G89" s="11" t="n">
        <v>7</v>
      </c>
      <c r="H89" s="11" t="n">
        <v>3</v>
      </c>
      <c r="I89" s="11">
        <f>G89*H89</f>
        <v/>
      </c>
      <c r="J89" s="11" t="inlineStr">
        <is>
          <t>-</t>
        </is>
      </c>
      <c r="K89" s="11" t="n"/>
    </row>
    <row r="90">
      <c r="A90" s="11" t="inlineStr">
        <is>
          <t>11 kV protection relay AH1 to AH7</t>
        </is>
      </c>
      <c r="B90" s="11" t="inlineStr">
        <is>
          <t>IEC 61850 or Modbus TCP</t>
        </is>
      </c>
      <c r="C90" s="11" t="inlineStr">
        <is>
          <t>Earth current</t>
        </is>
      </c>
      <c r="D90" s="11" t="inlineStr">
        <is>
          <t>Read</t>
        </is>
      </c>
      <c r="E90" s="11" t="inlineStr">
        <is>
          <t>Measured</t>
        </is>
      </c>
      <c r="F90" s="11" t="inlineStr">
        <is>
          <t>A</t>
        </is>
      </c>
      <c r="G90" s="11" t="n">
        <v>7</v>
      </c>
      <c r="H90" s="11" t="n">
        <v>1</v>
      </c>
      <c r="I90" s="11">
        <f>G90*H90</f>
        <v/>
      </c>
      <c r="J90" s="11" t="inlineStr">
        <is>
          <t>-</t>
        </is>
      </c>
      <c r="K90" s="11" t="n"/>
    </row>
    <row r="91">
      <c r="A91" s="11" t="inlineStr">
        <is>
          <t>11 kV protection relay AH1 to AH7</t>
        </is>
      </c>
      <c r="B91" s="11" t="inlineStr">
        <is>
          <t>IEC 61850 or Modbus TCP</t>
        </is>
      </c>
      <c r="C91" s="11" t="inlineStr">
        <is>
          <t>Voltage L1, L2, L3 (3 points)</t>
        </is>
      </c>
      <c r="D91" s="11" t="inlineStr">
        <is>
          <t>Read</t>
        </is>
      </c>
      <c r="E91" s="11" t="inlineStr">
        <is>
          <t>Measured</t>
        </is>
      </c>
      <c r="F91" s="11" t="inlineStr">
        <is>
          <t>kV</t>
        </is>
      </c>
      <c r="G91" s="11" t="n">
        <v>7</v>
      </c>
      <c r="H91" s="11" t="n">
        <v>3</v>
      </c>
      <c r="I91" s="11">
        <f>G91*H91</f>
        <v/>
      </c>
      <c r="J91" s="11" t="inlineStr">
        <is>
          <t>-</t>
        </is>
      </c>
      <c r="K91" s="11" t="n"/>
    </row>
    <row r="92">
      <c r="A92" s="11" t="inlineStr">
        <is>
          <t>11 kV protection relay AH1 to AH7</t>
        </is>
      </c>
      <c r="B92" s="11" t="inlineStr">
        <is>
          <t>IEC 61850 or Modbus TCP</t>
        </is>
      </c>
      <c r="C92" s="11" t="inlineStr">
        <is>
          <t>Active power</t>
        </is>
      </c>
      <c r="D92" s="11" t="inlineStr">
        <is>
          <t>Read</t>
        </is>
      </c>
      <c r="E92" s="11" t="inlineStr">
        <is>
          <t>Measured</t>
        </is>
      </c>
      <c r="F92" s="11" t="inlineStr">
        <is>
          <t>kW</t>
        </is>
      </c>
      <c r="G92" s="11" t="n">
        <v>7</v>
      </c>
      <c r="H92" s="11" t="n">
        <v>1</v>
      </c>
      <c r="I92" s="11">
        <f>G92*H92</f>
        <v/>
      </c>
      <c r="J92" s="11" t="inlineStr">
        <is>
          <t>-</t>
        </is>
      </c>
      <c r="K92" s="11" t="n"/>
    </row>
    <row r="93">
      <c r="A93" s="11" t="inlineStr">
        <is>
          <t>11 kV protection relay AH1 to AH7</t>
        </is>
      </c>
      <c r="B93" s="11" t="inlineStr">
        <is>
          <t>IEC 61850 or Modbus TCP</t>
        </is>
      </c>
      <c r="C93" s="11" t="inlineStr">
        <is>
          <t>Reactive power</t>
        </is>
      </c>
      <c r="D93" s="11" t="inlineStr">
        <is>
          <t>Read</t>
        </is>
      </c>
      <c r="E93" s="11" t="inlineStr">
        <is>
          <t>Measured</t>
        </is>
      </c>
      <c r="F93" s="11" t="inlineStr">
        <is>
          <t>kvar</t>
        </is>
      </c>
      <c r="G93" s="11" t="n">
        <v>7</v>
      </c>
      <c r="H93" s="11" t="n">
        <v>1</v>
      </c>
      <c r="I93" s="11">
        <f>G93*H93</f>
        <v/>
      </c>
      <c r="J93" s="11" t="inlineStr">
        <is>
          <t>-</t>
        </is>
      </c>
      <c r="K93" s="11" t="n"/>
    </row>
    <row r="94">
      <c r="A94" s="11" t="inlineStr">
        <is>
          <t>11 kV protection relay AH1 to AH7</t>
        </is>
      </c>
      <c r="B94" s="11" t="inlineStr">
        <is>
          <t>IEC 61850 or Modbus TCP</t>
        </is>
      </c>
      <c r="C94" s="11" t="inlineStr">
        <is>
          <t>Power factor</t>
        </is>
      </c>
      <c r="D94" s="11" t="inlineStr">
        <is>
          <t>Read</t>
        </is>
      </c>
      <c r="E94" s="11" t="inlineStr">
        <is>
          <t>Measured</t>
        </is>
      </c>
      <c r="F94" s="11" t="inlineStr">
        <is>
          <t>-</t>
        </is>
      </c>
      <c r="G94" s="11" t="n">
        <v>7</v>
      </c>
      <c r="H94" s="11" t="n">
        <v>1</v>
      </c>
      <c r="I94" s="11">
        <f>G94*H94</f>
        <v/>
      </c>
      <c r="J94" s="11" t="inlineStr">
        <is>
          <t>-</t>
        </is>
      </c>
      <c r="K94" s="11" t="n"/>
    </row>
    <row r="95">
      <c r="A95" s="11" t="inlineStr">
        <is>
          <t>11 kV protection relay AH1 to AH7</t>
        </is>
      </c>
      <c r="B95" s="11" t="inlineStr">
        <is>
          <t>IEC 61850 or Modbus TCP</t>
        </is>
      </c>
      <c r="C95" s="11" t="inlineStr">
        <is>
          <t>Frequency</t>
        </is>
      </c>
      <c r="D95" s="11" t="inlineStr">
        <is>
          <t>Read</t>
        </is>
      </c>
      <c r="E95" s="11" t="inlineStr">
        <is>
          <t>Measured</t>
        </is>
      </c>
      <c r="F95" s="11" t="inlineStr">
        <is>
          <t>Hz</t>
        </is>
      </c>
      <c r="G95" s="11" t="n">
        <v>7</v>
      </c>
      <c r="H95" s="11" t="n">
        <v>1</v>
      </c>
      <c r="I95" s="11">
        <f>G95*H95</f>
        <v/>
      </c>
      <c r="J95" s="11" t="inlineStr">
        <is>
          <t>-</t>
        </is>
      </c>
      <c r="K95" s="11" t="n"/>
    </row>
    <row r="96">
      <c r="A96" s="11" t="inlineStr">
        <is>
          <t>11 kV protection relay AH1 to AH7</t>
        </is>
      </c>
      <c r="B96" s="11" t="inlineStr">
        <is>
          <t>IEC 61850 or Modbus TCP</t>
        </is>
      </c>
      <c r="C96" s="11" t="inlineStr">
        <is>
          <t>Energy import</t>
        </is>
      </c>
      <c r="D96" s="11" t="inlineStr">
        <is>
          <t>Read</t>
        </is>
      </c>
      <c r="E96" s="11" t="inlineStr">
        <is>
          <t>Counter</t>
        </is>
      </c>
      <c r="F96" s="11" t="inlineStr">
        <is>
          <t>MWh</t>
        </is>
      </c>
      <c r="G96" s="11" t="n">
        <v>7</v>
      </c>
      <c r="H96" s="11" t="n">
        <v>1</v>
      </c>
      <c r="I96" s="11">
        <f>G96*H96</f>
        <v/>
      </c>
      <c r="J96" s="11" t="inlineStr">
        <is>
          <t>-</t>
        </is>
      </c>
      <c r="K96" s="11" t="n"/>
    </row>
    <row r="97">
      <c r="A97" s="11" t="inlineStr">
        <is>
          <t>11 kV protection relay AH1 to AH7</t>
        </is>
      </c>
      <c r="B97" s="11" t="inlineStr">
        <is>
          <t>IEC 61850 or Modbus TCP</t>
        </is>
      </c>
      <c r="C97" s="11" t="inlineStr">
        <is>
          <t>Energy export</t>
        </is>
      </c>
      <c r="D97" s="11" t="inlineStr">
        <is>
          <t>Read</t>
        </is>
      </c>
      <c r="E97" s="11" t="inlineStr">
        <is>
          <t>Counter</t>
        </is>
      </c>
      <c r="F97" s="11" t="inlineStr">
        <is>
          <t>MWh</t>
        </is>
      </c>
      <c r="G97" s="11" t="n">
        <v>7</v>
      </c>
      <c r="H97" s="11" t="n">
        <v>1</v>
      </c>
      <c r="I97" s="11">
        <f>G97*H97</f>
        <v/>
      </c>
      <c r="J97" s="11" t="inlineStr">
        <is>
          <t>-</t>
        </is>
      </c>
      <c r="K97" s="11" t="n"/>
    </row>
    <row r="98">
      <c r="A98" s="11" t="inlineStr">
        <is>
          <t>11 kV protection relay AH1 to AH7</t>
        </is>
      </c>
      <c r="B98" s="11" t="inlineStr">
        <is>
          <t>IEC 61850 or Modbus TCP</t>
        </is>
      </c>
      <c r="C98" s="11" t="inlineStr">
        <is>
          <t>Breaker position</t>
        </is>
      </c>
      <c r="D98" s="11" t="inlineStr">
        <is>
          <t>Read</t>
        </is>
      </c>
      <c r="E98" s="11" t="inlineStr">
        <is>
          <t>Double point</t>
        </is>
      </c>
      <c r="F98" s="11" t="inlineStr">
        <is>
          <t>-</t>
        </is>
      </c>
      <c r="G98" s="11" t="n">
        <v>7</v>
      </c>
      <c r="H98" s="11" t="n">
        <v>1</v>
      </c>
      <c r="I98" s="11">
        <f>G98*H98</f>
        <v/>
      </c>
      <c r="J98" s="11" t="inlineStr">
        <is>
          <t>-</t>
        </is>
      </c>
      <c r="K98" s="11" t="n"/>
    </row>
    <row r="99">
      <c r="A99" s="11" t="inlineStr">
        <is>
          <t>11 kV protection relay AH1 to AH7</t>
        </is>
      </c>
      <c r="B99" s="11" t="inlineStr">
        <is>
          <t>IEC 61850 or Modbus TCP</t>
        </is>
      </c>
      <c r="C99" s="11" t="inlineStr">
        <is>
          <t>Overcurrent trip (50/51)</t>
        </is>
      </c>
      <c r="D99" s="11" t="inlineStr">
        <is>
          <t>Read</t>
        </is>
      </c>
      <c r="E99" s="11" t="inlineStr">
        <is>
          <t>Event</t>
        </is>
      </c>
      <c r="F99" s="11" t="inlineStr">
        <is>
          <t>-</t>
        </is>
      </c>
      <c r="G99" s="11" t="n">
        <v>7</v>
      </c>
      <c r="H99" s="11" t="n">
        <v>1</v>
      </c>
      <c r="I99" s="11">
        <f>G99*H99</f>
        <v/>
      </c>
      <c r="J99" s="11" t="inlineStr">
        <is>
          <t>-</t>
        </is>
      </c>
      <c r="K99" s="11" t="n"/>
    </row>
    <row r="100">
      <c r="A100" s="11" t="inlineStr">
        <is>
          <t>11 kV protection relay AH1 to AH7</t>
        </is>
      </c>
      <c r="B100" s="11" t="inlineStr">
        <is>
          <t>IEC 61850 or Modbus TCP</t>
        </is>
      </c>
      <c r="C100" s="11" t="inlineStr">
        <is>
          <t>Earth fault trip (50N/51N)</t>
        </is>
      </c>
      <c r="D100" s="11" t="inlineStr">
        <is>
          <t>Read</t>
        </is>
      </c>
      <c r="E100" s="11" t="inlineStr">
        <is>
          <t>Event</t>
        </is>
      </c>
      <c r="F100" s="11" t="inlineStr">
        <is>
          <t>-</t>
        </is>
      </c>
      <c r="G100" s="11" t="n">
        <v>7</v>
      </c>
      <c r="H100" s="11" t="n">
        <v>1</v>
      </c>
      <c r="I100" s="11">
        <f>G100*H100</f>
        <v/>
      </c>
      <c r="J100" s="11" t="inlineStr">
        <is>
          <t>-</t>
        </is>
      </c>
      <c r="K100" s="11" t="n"/>
    </row>
    <row r="101">
      <c r="A101" s="11" t="inlineStr">
        <is>
          <t>11 kV protection relay AH1 to AH7</t>
        </is>
      </c>
      <c r="B101" s="11" t="inlineStr">
        <is>
          <t>IEC 61850 or Modbus TCP</t>
        </is>
      </c>
      <c r="C101" s="11" t="inlineStr">
        <is>
          <t>Under / overvoltage trip (27/59)</t>
        </is>
      </c>
      <c r="D101" s="11" t="inlineStr">
        <is>
          <t>Read</t>
        </is>
      </c>
      <c r="E101" s="11" t="inlineStr">
        <is>
          <t>Event</t>
        </is>
      </c>
      <c r="F101" s="11" t="inlineStr">
        <is>
          <t>-</t>
        </is>
      </c>
      <c r="G101" s="11" t="n">
        <v>7</v>
      </c>
      <c r="H101" s="11" t="n">
        <v>1</v>
      </c>
      <c r="I101" s="11">
        <f>G101*H101</f>
        <v/>
      </c>
      <c r="J101" s="11" t="inlineStr">
        <is>
          <t>-</t>
        </is>
      </c>
      <c r="K101" s="11" t="n"/>
    </row>
    <row r="102">
      <c r="A102" s="11" t="inlineStr">
        <is>
          <t>11 kV protection relay AH1 to AH7</t>
        </is>
      </c>
      <c r="B102" s="11" t="inlineStr">
        <is>
          <t>IEC 61850 or Modbus TCP</t>
        </is>
      </c>
      <c r="C102" s="11" t="inlineStr">
        <is>
          <t>Frequency trip (81)</t>
        </is>
      </c>
      <c r="D102" s="11" t="inlineStr">
        <is>
          <t>Read</t>
        </is>
      </c>
      <c r="E102" s="11" t="inlineStr">
        <is>
          <t>Event</t>
        </is>
      </c>
      <c r="F102" s="11" t="inlineStr">
        <is>
          <t>-</t>
        </is>
      </c>
      <c r="G102" s="11" t="n">
        <v>7</v>
      </c>
      <c r="H102" s="11" t="n">
        <v>1</v>
      </c>
      <c r="I102" s="11">
        <f>G102*H102</f>
        <v/>
      </c>
      <c r="J102" s="11" t="inlineStr">
        <is>
          <t>-</t>
        </is>
      </c>
      <c r="K102" s="11" t="n"/>
    </row>
    <row r="103">
      <c r="A103" s="11" t="inlineStr">
        <is>
          <t>11 kV protection relay AH1 to AH7</t>
        </is>
      </c>
      <c r="B103" s="11" t="inlineStr">
        <is>
          <t>IEC 61850 or Modbus TCP</t>
        </is>
      </c>
      <c r="C103" s="11" t="inlineStr">
        <is>
          <t>Relay healthy</t>
        </is>
      </c>
      <c r="D103" s="11" t="inlineStr">
        <is>
          <t>Read</t>
        </is>
      </c>
      <c r="E103" s="11" t="inlineStr">
        <is>
          <t>Status</t>
        </is>
      </c>
      <c r="F103" s="11" t="inlineStr">
        <is>
          <t>-</t>
        </is>
      </c>
      <c r="G103" s="11" t="n">
        <v>7</v>
      </c>
      <c r="H103" s="11" t="n">
        <v>1</v>
      </c>
      <c r="I103" s="11">
        <f>G103*H103</f>
        <v/>
      </c>
      <c r="J103" s="11" t="inlineStr">
        <is>
          <t>-</t>
        </is>
      </c>
      <c r="K103" s="11" t="n"/>
    </row>
    <row r="104">
      <c r="A104" s="11" t="inlineStr">
        <is>
          <t>11 kV protection relay AH1 to AH7</t>
        </is>
      </c>
      <c r="B104" s="11" t="inlineStr">
        <is>
          <t>IEC 61850 or Modbus TCP</t>
        </is>
      </c>
      <c r="C104" s="11" t="inlineStr">
        <is>
          <t>Disturbance record available</t>
        </is>
      </c>
      <c r="D104" s="11" t="inlineStr">
        <is>
          <t>Read</t>
        </is>
      </c>
      <c r="E104" s="11" t="inlineStr">
        <is>
          <t>Status</t>
        </is>
      </c>
      <c r="F104" s="11" t="inlineStr">
        <is>
          <t>-</t>
        </is>
      </c>
      <c r="G104" s="11" t="n">
        <v>7</v>
      </c>
      <c r="H104" s="11" t="n">
        <v>1</v>
      </c>
      <c r="I104" s="11">
        <f>G104*H104</f>
        <v/>
      </c>
      <c r="J104" s="11" t="inlineStr">
        <is>
          <t>-</t>
        </is>
      </c>
      <c r="K104" s="11" t="n"/>
    </row>
    <row r="105">
      <c r="A105" s="11" t="inlineStr">
        <is>
          <t>11 kV protection relay AH1 to AH7</t>
        </is>
      </c>
      <c r="B105" s="11" t="inlineStr">
        <is>
          <t>IEC 61850 or Modbus TCP</t>
        </is>
      </c>
      <c r="C105" s="11" t="inlineStr">
        <is>
          <t>Trip circuit supervision alarm</t>
        </is>
      </c>
      <c r="D105" s="11" t="inlineStr">
        <is>
          <t>Read</t>
        </is>
      </c>
      <c r="E105" s="11" t="inlineStr">
        <is>
          <t>Status</t>
        </is>
      </c>
      <c r="F105" s="11" t="inlineStr">
        <is>
          <t>-</t>
        </is>
      </c>
      <c r="G105" s="11" t="n">
        <v>7</v>
      </c>
      <c r="H105" s="11" t="n">
        <v>1</v>
      </c>
      <c r="I105" s="11">
        <f>G105*H105</f>
        <v/>
      </c>
      <c r="J105" s="11" t="inlineStr">
        <is>
          <t>-</t>
        </is>
      </c>
      <c r="K105" s="11" t="inlineStr">
        <is>
          <t>Added rev 1</t>
        </is>
      </c>
    </row>
    <row r="106">
      <c r="A106" s="11" t="inlineStr">
        <is>
          <t>11 kV protection relay AH1 to AH7</t>
        </is>
      </c>
      <c r="B106" s="11" t="inlineStr">
        <is>
          <t>IEC 61850 or Modbus TCP</t>
        </is>
      </c>
      <c r="C106" s="11" t="inlineStr">
        <is>
          <t>Sensitive earth fault trip (51G)</t>
        </is>
      </c>
      <c r="D106" s="11" t="inlineStr">
        <is>
          <t>Read</t>
        </is>
      </c>
      <c r="E106" s="11" t="inlineStr">
        <is>
          <t>Event</t>
        </is>
      </c>
      <c r="F106" s="11" t="inlineStr">
        <is>
          <t>-</t>
        </is>
      </c>
      <c r="G106" s="11" t="n">
        <v>6</v>
      </c>
      <c r="H106" s="11" t="n">
        <v>1</v>
      </c>
      <c r="I106" s="11">
        <f>G106*H106</f>
        <v/>
      </c>
      <c r="J106" s="11" t="inlineStr">
        <is>
          <t>-</t>
        </is>
      </c>
      <c r="K106" s="11" t="inlineStr">
        <is>
          <t>Added rev 1. Panels with a zero-sequence CT (all except AH5)</t>
        </is>
      </c>
    </row>
    <row r="107">
      <c r="A107" s="11" t="inlineStr">
        <is>
          <t>11 kV protection relay AH1 to AH7</t>
        </is>
      </c>
      <c r="B107" s="11" t="inlineStr">
        <is>
          <t>IEC 61850 or Modbus TCP</t>
        </is>
      </c>
      <c r="C107" s="11" t="inlineStr">
        <is>
          <t>Reverse power trip (32), AH1 generator incomer</t>
        </is>
      </c>
      <c r="D107" s="11" t="inlineStr">
        <is>
          <t>Read</t>
        </is>
      </c>
      <c r="E107" s="11" t="inlineStr">
        <is>
          <t>Event</t>
        </is>
      </c>
      <c r="F107" s="11" t="inlineStr">
        <is>
          <t>-</t>
        </is>
      </c>
      <c r="G107" s="11" t="n">
        <v>1</v>
      </c>
      <c r="H107" s="11" t="n">
        <v>1</v>
      </c>
      <c r="I107" s="11">
        <f>G107*H107</f>
        <v/>
      </c>
      <c r="J107" s="11" t="inlineStr">
        <is>
          <t>-</t>
        </is>
      </c>
      <c r="K107" s="11" t="inlineStr">
        <is>
          <t>Added rev 1. Protects the generators against reverse power from PV and battery</t>
        </is>
      </c>
    </row>
    <row r="108">
      <c r="A108" s="11" t="inlineStr">
        <is>
          <t>RMU relay ST260E</t>
        </is>
      </c>
      <c r="B108" s="11" t="inlineStr">
        <is>
          <t>Modbus RTU through MGate</t>
        </is>
      </c>
      <c r="C108" s="11" t="inlineStr">
        <is>
          <t>Phase current L1, L2, L3 (3 points)</t>
        </is>
      </c>
      <c r="D108" s="11" t="inlineStr">
        <is>
          <t>Read</t>
        </is>
      </c>
      <c r="E108" s="11" t="inlineStr">
        <is>
          <t>Measured</t>
        </is>
      </c>
      <c r="F108" s="11" t="inlineStr">
        <is>
          <t>A</t>
        </is>
      </c>
      <c r="G108" s="11" t="n">
        <v>2</v>
      </c>
      <c r="H108" s="11" t="n">
        <v>3</v>
      </c>
      <c r="I108" s="11">
        <f>G108*H108</f>
        <v/>
      </c>
      <c r="J108" s="11" t="inlineStr">
        <is>
          <t>-</t>
        </is>
      </c>
      <c r="K108" s="11" t="n"/>
    </row>
    <row r="109">
      <c r="A109" s="11" t="inlineStr">
        <is>
          <t>RMU relay ST260E</t>
        </is>
      </c>
      <c r="B109" s="11" t="inlineStr">
        <is>
          <t>Modbus RTU through MGate</t>
        </is>
      </c>
      <c r="C109" s="11" t="inlineStr">
        <is>
          <t>Earth current</t>
        </is>
      </c>
      <c r="D109" s="11" t="inlineStr">
        <is>
          <t>Read</t>
        </is>
      </c>
      <c r="E109" s="11" t="inlineStr">
        <is>
          <t>Measured</t>
        </is>
      </c>
      <c r="F109" s="11" t="inlineStr">
        <is>
          <t>A</t>
        </is>
      </c>
      <c r="G109" s="11" t="n">
        <v>2</v>
      </c>
      <c r="H109" s="11" t="n">
        <v>1</v>
      </c>
      <c r="I109" s="11">
        <f>G109*H109</f>
        <v/>
      </c>
      <c r="J109" s="11" t="inlineStr">
        <is>
          <t>-</t>
        </is>
      </c>
      <c r="K109" s="11" t="n"/>
    </row>
    <row r="110">
      <c r="A110" s="11" t="inlineStr">
        <is>
          <t>RMU relay ST260E</t>
        </is>
      </c>
      <c r="B110" s="11" t="inlineStr">
        <is>
          <t>Modbus RTU through MGate</t>
        </is>
      </c>
      <c r="C110" s="11" t="inlineStr">
        <is>
          <t>Breaker position</t>
        </is>
      </c>
      <c r="D110" s="11" t="inlineStr">
        <is>
          <t>Read</t>
        </is>
      </c>
      <c r="E110" s="11" t="inlineStr">
        <is>
          <t>Double point</t>
        </is>
      </c>
      <c r="F110" s="11" t="inlineStr">
        <is>
          <t>-</t>
        </is>
      </c>
      <c r="G110" s="11" t="n">
        <v>2</v>
      </c>
      <c r="H110" s="11" t="n">
        <v>1</v>
      </c>
      <c r="I110" s="11">
        <f>G110*H110</f>
        <v/>
      </c>
      <c r="J110" s="11" t="inlineStr">
        <is>
          <t>-</t>
        </is>
      </c>
      <c r="K110" s="11" t="n"/>
    </row>
    <row r="111">
      <c r="A111" s="11" t="inlineStr">
        <is>
          <t>RMU relay ST260E</t>
        </is>
      </c>
      <c r="B111" s="11" t="inlineStr">
        <is>
          <t>Modbus RTU through MGate</t>
        </is>
      </c>
      <c r="C111" s="11" t="inlineStr">
        <is>
          <t>Overcurrent trip</t>
        </is>
      </c>
      <c r="D111" s="11" t="inlineStr">
        <is>
          <t>Read</t>
        </is>
      </c>
      <c r="E111" s="11" t="inlineStr">
        <is>
          <t>Event</t>
        </is>
      </c>
      <c r="F111" s="11" t="inlineStr">
        <is>
          <t>-</t>
        </is>
      </c>
      <c r="G111" s="11" t="n">
        <v>2</v>
      </c>
      <c r="H111" s="11" t="n">
        <v>1</v>
      </c>
      <c r="I111" s="11">
        <f>G111*H111</f>
        <v/>
      </c>
      <c r="J111" s="11" t="inlineStr">
        <is>
          <t>-</t>
        </is>
      </c>
      <c r="K111" s="11" t="n"/>
    </row>
    <row r="112">
      <c r="A112" s="11" t="inlineStr">
        <is>
          <t>RMU relay ST260E</t>
        </is>
      </c>
      <c r="B112" s="11" t="inlineStr">
        <is>
          <t>Modbus RTU through MGate</t>
        </is>
      </c>
      <c r="C112" s="11" t="inlineStr">
        <is>
          <t>Earth fault trip</t>
        </is>
      </c>
      <c r="D112" s="11" t="inlineStr">
        <is>
          <t>Read</t>
        </is>
      </c>
      <c r="E112" s="11" t="inlineStr">
        <is>
          <t>Event</t>
        </is>
      </c>
      <c r="F112" s="11" t="inlineStr">
        <is>
          <t>-</t>
        </is>
      </c>
      <c r="G112" s="11" t="n">
        <v>2</v>
      </c>
      <c r="H112" s="11" t="n">
        <v>1</v>
      </c>
      <c r="I112" s="11">
        <f>G112*H112</f>
        <v/>
      </c>
      <c r="J112" s="11" t="inlineStr">
        <is>
          <t>-</t>
        </is>
      </c>
      <c r="K112" s="11" t="n"/>
    </row>
    <row r="113">
      <c r="A113" s="11" t="inlineStr">
        <is>
          <t>RMU relay ST260E</t>
        </is>
      </c>
      <c r="B113" s="11" t="inlineStr">
        <is>
          <t>Modbus RTU through MGate</t>
        </is>
      </c>
      <c r="C113" s="11" t="inlineStr">
        <is>
          <t>Relay healthy</t>
        </is>
      </c>
      <c r="D113" s="11" t="inlineStr">
        <is>
          <t>Read</t>
        </is>
      </c>
      <c r="E113" s="11" t="inlineStr">
        <is>
          <t>Status</t>
        </is>
      </c>
      <c r="F113" s="11" t="inlineStr">
        <is>
          <t>-</t>
        </is>
      </c>
      <c r="G113" s="11" t="n">
        <v>2</v>
      </c>
      <c r="H113" s="11" t="n">
        <v>1</v>
      </c>
      <c r="I113" s="11">
        <f>G113*H113</f>
        <v/>
      </c>
      <c r="J113" s="11" t="inlineStr">
        <is>
          <t>-</t>
        </is>
      </c>
      <c r="K113" s="11" t="n"/>
    </row>
    <row r="114">
      <c r="A114" s="11" t="inlineStr">
        <is>
          <t>Power meter PM5560</t>
        </is>
      </c>
      <c r="B114" s="11" t="inlineStr">
        <is>
          <t>Modbus TCP</t>
        </is>
      </c>
      <c r="C114" s="11" t="inlineStr">
        <is>
          <t>Voltage L-N, 3 phases (3 points)</t>
        </is>
      </c>
      <c r="D114" s="11" t="inlineStr">
        <is>
          <t>Read</t>
        </is>
      </c>
      <c r="E114" s="11" t="inlineStr">
        <is>
          <t>Measured</t>
        </is>
      </c>
      <c r="F114" s="11" t="inlineStr">
        <is>
          <t>V</t>
        </is>
      </c>
      <c r="G114" s="11" t="n">
        <v>3</v>
      </c>
      <c r="H114" s="11" t="n">
        <v>3</v>
      </c>
      <c r="I114" s="11">
        <f>G114*H114</f>
        <v/>
      </c>
      <c r="J114" s="11" t="inlineStr">
        <is>
          <t>-</t>
        </is>
      </c>
      <c r="K114" s="11" t="n"/>
    </row>
    <row r="115">
      <c r="A115" s="11" t="inlineStr">
        <is>
          <t>Power meter PM5560</t>
        </is>
      </c>
      <c r="B115" s="11" t="inlineStr">
        <is>
          <t>Modbus TCP</t>
        </is>
      </c>
      <c r="C115" s="11" t="inlineStr">
        <is>
          <t>Current, 3 phases (3 points)</t>
        </is>
      </c>
      <c r="D115" s="11" t="inlineStr">
        <is>
          <t>Read</t>
        </is>
      </c>
      <c r="E115" s="11" t="inlineStr">
        <is>
          <t>Measured</t>
        </is>
      </c>
      <c r="F115" s="11" t="inlineStr">
        <is>
          <t>A</t>
        </is>
      </c>
      <c r="G115" s="11" t="n">
        <v>3</v>
      </c>
      <c r="H115" s="11" t="n">
        <v>3</v>
      </c>
      <c r="I115" s="11">
        <f>G115*H115</f>
        <v/>
      </c>
      <c r="J115" s="11" t="inlineStr">
        <is>
          <t>-</t>
        </is>
      </c>
      <c r="K115" s="11" t="n"/>
    </row>
    <row r="116">
      <c r="A116" s="11" t="inlineStr">
        <is>
          <t>Power meter PM5560</t>
        </is>
      </c>
      <c r="B116" s="11" t="inlineStr">
        <is>
          <t>Modbus TCP</t>
        </is>
      </c>
      <c r="C116" s="11" t="inlineStr">
        <is>
          <t>Active power</t>
        </is>
      </c>
      <c r="D116" s="11" t="inlineStr">
        <is>
          <t>Read</t>
        </is>
      </c>
      <c r="E116" s="11" t="inlineStr">
        <is>
          <t>Measured</t>
        </is>
      </c>
      <c r="F116" s="11" t="inlineStr">
        <is>
          <t>kW</t>
        </is>
      </c>
      <c r="G116" s="11" t="n">
        <v>3</v>
      </c>
      <c r="H116" s="11" t="n">
        <v>1</v>
      </c>
      <c r="I116" s="11">
        <f>G116*H116</f>
        <v/>
      </c>
      <c r="J116" s="11" t="inlineStr">
        <is>
          <t>-</t>
        </is>
      </c>
      <c r="K116" s="11" t="n"/>
    </row>
    <row r="117">
      <c r="A117" s="11" t="inlineStr">
        <is>
          <t>Power meter PM5560</t>
        </is>
      </c>
      <c r="B117" s="11" t="inlineStr">
        <is>
          <t>Modbus TCP</t>
        </is>
      </c>
      <c r="C117" s="11" t="inlineStr">
        <is>
          <t>Reactive power</t>
        </is>
      </c>
      <c r="D117" s="11" t="inlineStr">
        <is>
          <t>Read</t>
        </is>
      </c>
      <c r="E117" s="11" t="inlineStr">
        <is>
          <t>Measured</t>
        </is>
      </c>
      <c r="F117" s="11" t="inlineStr">
        <is>
          <t>kvar</t>
        </is>
      </c>
      <c r="G117" s="11" t="n">
        <v>3</v>
      </c>
      <c r="H117" s="11" t="n">
        <v>1</v>
      </c>
      <c r="I117" s="11">
        <f>G117*H117</f>
        <v/>
      </c>
      <c r="J117" s="11" t="inlineStr">
        <is>
          <t>-</t>
        </is>
      </c>
      <c r="K117" s="11" t="n"/>
    </row>
    <row r="118">
      <c r="A118" s="11" t="inlineStr">
        <is>
          <t>Power meter PM5560</t>
        </is>
      </c>
      <c r="B118" s="11" t="inlineStr">
        <is>
          <t>Modbus TCP</t>
        </is>
      </c>
      <c r="C118" s="11" t="inlineStr">
        <is>
          <t>Apparent power</t>
        </is>
      </c>
      <c r="D118" s="11" t="inlineStr">
        <is>
          <t>Read</t>
        </is>
      </c>
      <c r="E118" s="11" t="inlineStr">
        <is>
          <t>Measured</t>
        </is>
      </c>
      <c r="F118" s="11" t="inlineStr">
        <is>
          <t>kVA</t>
        </is>
      </c>
      <c r="G118" s="11" t="n">
        <v>3</v>
      </c>
      <c r="H118" s="11" t="n">
        <v>1</v>
      </c>
      <c r="I118" s="11">
        <f>G118*H118</f>
        <v/>
      </c>
      <c r="J118" s="11" t="inlineStr">
        <is>
          <t>-</t>
        </is>
      </c>
      <c r="K118" s="11" t="n"/>
    </row>
    <row r="119">
      <c r="A119" s="11" t="inlineStr">
        <is>
          <t>Power meter PM5560</t>
        </is>
      </c>
      <c r="B119" s="11" t="inlineStr">
        <is>
          <t>Modbus TCP</t>
        </is>
      </c>
      <c r="C119" s="11" t="inlineStr">
        <is>
          <t>Power factor</t>
        </is>
      </c>
      <c r="D119" s="11" t="inlineStr">
        <is>
          <t>Read</t>
        </is>
      </c>
      <c r="E119" s="11" t="inlineStr">
        <is>
          <t>Measured</t>
        </is>
      </c>
      <c r="F119" s="11" t="inlineStr">
        <is>
          <t>-</t>
        </is>
      </c>
      <c r="G119" s="11" t="n">
        <v>3</v>
      </c>
      <c r="H119" s="11" t="n">
        <v>1</v>
      </c>
      <c r="I119" s="11">
        <f>G119*H119</f>
        <v/>
      </c>
      <c r="J119" s="11" t="inlineStr">
        <is>
          <t>-</t>
        </is>
      </c>
      <c r="K119" s="11" t="n"/>
    </row>
    <row r="120">
      <c r="A120" s="11" t="inlineStr">
        <is>
          <t>Power meter PM5560</t>
        </is>
      </c>
      <c r="B120" s="11" t="inlineStr">
        <is>
          <t>Modbus TCP</t>
        </is>
      </c>
      <c r="C120" s="11" t="inlineStr">
        <is>
          <t>Frequency</t>
        </is>
      </c>
      <c r="D120" s="11" t="inlineStr">
        <is>
          <t>Read</t>
        </is>
      </c>
      <c r="E120" s="11" t="inlineStr">
        <is>
          <t>Measured</t>
        </is>
      </c>
      <c r="F120" s="11" t="inlineStr">
        <is>
          <t>Hz</t>
        </is>
      </c>
      <c r="G120" s="11" t="n">
        <v>3</v>
      </c>
      <c r="H120" s="11" t="n">
        <v>1</v>
      </c>
      <c r="I120" s="11">
        <f>G120*H120</f>
        <v/>
      </c>
      <c r="J120" s="11" t="inlineStr">
        <is>
          <t>-</t>
        </is>
      </c>
      <c r="K120" s="11" t="n"/>
    </row>
    <row r="121">
      <c r="A121" s="11" t="inlineStr">
        <is>
          <t>Power meter PM5560</t>
        </is>
      </c>
      <c r="B121" s="11" t="inlineStr">
        <is>
          <t>Modbus TCP</t>
        </is>
      </c>
      <c r="C121" s="11" t="inlineStr">
        <is>
          <t>Active energy</t>
        </is>
      </c>
      <c r="D121" s="11" t="inlineStr">
        <is>
          <t>Read</t>
        </is>
      </c>
      <c r="E121" s="11" t="inlineStr">
        <is>
          <t>Counter</t>
        </is>
      </c>
      <c r="F121" s="11" t="inlineStr">
        <is>
          <t>kWh</t>
        </is>
      </c>
      <c r="G121" s="11" t="n">
        <v>3</v>
      </c>
      <c r="H121" s="11" t="n">
        <v>1</v>
      </c>
      <c r="I121" s="11">
        <f>G121*H121</f>
        <v/>
      </c>
      <c r="J121" s="11" t="inlineStr">
        <is>
          <t>-</t>
        </is>
      </c>
      <c r="K121" s="11" t="n"/>
    </row>
    <row r="122">
      <c r="A122" s="11" t="inlineStr">
        <is>
          <t>Power meter PM5560</t>
        </is>
      </c>
      <c r="B122" s="11" t="inlineStr">
        <is>
          <t>Modbus TCP</t>
        </is>
      </c>
      <c r="C122" s="11" t="inlineStr">
        <is>
          <t>Reactive energy</t>
        </is>
      </c>
      <c r="D122" s="11" t="inlineStr">
        <is>
          <t>Read</t>
        </is>
      </c>
      <c r="E122" s="11" t="inlineStr">
        <is>
          <t>Counter</t>
        </is>
      </c>
      <c r="F122" s="11" t="inlineStr">
        <is>
          <t>kvarh</t>
        </is>
      </c>
      <c r="G122" s="11" t="n">
        <v>3</v>
      </c>
      <c r="H122" s="11" t="n">
        <v>1</v>
      </c>
      <c r="I122" s="11">
        <f>G122*H122</f>
        <v/>
      </c>
      <c r="J122" s="11" t="inlineStr">
        <is>
          <t>-</t>
        </is>
      </c>
      <c r="K122" s="11" t="n"/>
    </row>
    <row r="123">
      <c r="A123" s="11" t="inlineStr">
        <is>
          <t>Power meter PM5560</t>
        </is>
      </c>
      <c r="B123" s="11" t="inlineStr">
        <is>
          <t>Modbus TCP</t>
        </is>
      </c>
      <c r="C123" s="11" t="inlineStr">
        <is>
          <t>Voltage THD</t>
        </is>
      </c>
      <c r="D123" s="11" t="inlineStr">
        <is>
          <t>Read</t>
        </is>
      </c>
      <c r="E123" s="11" t="inlineStr">
        <is>
          <t>Measured</t>
        </is>
      </c>
      <c r="F123" s="11" t="inlineStr">
        <is>
          <t>%</t>
        </is>
      </c>
      <c r="G123" s="11" t="n">
        <v>3</v>
      </c>
      <c r="H123" s="11" t="n">
        <v>1</v>
      </c>
      <c r="I123" s="11">
        <f>G123*H123</f>
        <v/>
      </c>
      <c r="J123" s="11" t="inlineStr">
        <is>
          <t>-</t>
        </is>
      </c>
      <c r="K123" s="11" t="n"/>
    </row>
    <row r="124">
      <c r="A124" s="11" t="inlineStr">
        <is>
          <t>Power meter PM5560</t>
        </is>
      </c>
      <c r="B124" s="11" t="inlineStr">
        <is>
          <t>Modbus TCP</t>
        </is>
      </c>
      <c r="C124" s="11" t="inlineStr">
        <is>
          <t>Current THD</t>
        </is>
      </c>
      <c r="D124" s="11" t="inlineStr">
        <is>
          <t>Read</t>
        </is>
      </c>
      <c r="E124" s="11" t="inlineStr">
        <is>
          <t>Measured</t>
        </is>
      </c>
      <c r="F124" s="11" t="inlineStr">
        <is>
          <t>%</t>
        </is>
      </c>
      <c r="G124" s="11" t="n">
        <v>3</v>
      </c>
      <c r="H124" s="11" t="n">
        <v>1</v>
      </c>
      <c r="I124" s="11">
        <f>G124*H124</f>
        <v/>
      </c>
      <c r="J124" s="11" t="inlineStr">
        <is>
          <t>-</t>
        </is>
      </c>
      <c r="K124" s="11" t="n"/>
    </row>
    <row r="125">
      <c r="A125" s="11" t="inlineStr">
        <is>
          <t>Weather logger blue'Log XM</t>
        </is>
      </c>
      <c r="B125" s="11" t="inlineStr">
        <is>
          <t>Modbus TCP</t>
        </is>
      </c>
      <c r="C125" s="11" t="inlineStr">
        <is>
          <t>Plane-of-array irradiance</t>
        </is>
      </c>
      <c r="D125" s="11" t="inlineStr">
        <is>
          <t>Read</t>
        </is>
      </c>
      <c r="E125" s="11" t="inlineStr">
        <is>
          <t>Measured</t>
        </is>
      </c>
      <c r="F125" s="11" t="inlineStr">
        <is>
          <t>W/m2</t>
        </is>
      </c>
      <c r="G125" s="11" t="n">
        <v>1</v>
      </c>
      <c r="H125" s="11" t="n">
        <v>1</v>
      </c>
      <c r="I125" s="11">
        <f>G125*H125</f>
        <v/>
      </c>
      <c r="J125" s="11" t="inlineStr">
        <is>
          <t>-</t>
        </is>
      </c>
      <c r="K125" s="11" t="n"/>
    </row>
    <row r="126">
      <c r="A126" s="11" t="inlineStr">
        <is>
          <t>Weather logger blue'Log XM</t>
        </is>
      </c>
      <c r="B126" s="11" t="inlineStr">
        <is>
          <t>Modbus TCP</t>
        </is>
      </c>
      <c r="C126" s="11" t="inlineStr">
        <is>
          <t>Wind speed</t>
        </is>
      </c>
      <c r="D126" s="11" t="inlineStr">
        <is>
          <t>Read</t>
        </is>
      </c>
      <c r="E126" s="11" t="inlineStr">
        <is>
          <t>Measured</t>
        </is>
      </c>
      <c r="F126" s="11" t="inlineStr">
        <is>
          <t>m/s</t>
        </is>
      </c>
      <c r="G126" s="11" t="n">
        <v>1</v>
      </c>
      <c r="H126" s="11" t="n">
        <v>1</v>
      </c>
      <c r="I126" s="11">
        <f>G126*H126</f>
        <v/>
      </c>
      <c r="J126" s="11" t="inlineStr">
        <is>
          <t>-</t>
        </is>
      </c>
      <c r="K126" s="11" t="n"/>
    </row>
    <row r="127">
      <c r="A127" s="11" t="inlineStr">
        <is>
          <t>Weather logger blue'Log XM</t>
        </is>
      </c>
      <c r="B127" s="11" t="inlineStr">
        <is>
          <t>Modbus TCP</t>
        </is>
      </c>
      <c r="C127" s="11" t="inlineStr">
        <is>
          <t>Wind direction</t>
        </is>
      </c>
      <c r="D127" s="11" t="inlineStr">
        <is>
          <t>Read</t>
        </is>
      </c>
      <c r="E127" s="11" t="inlineStr">
        <is>
          <t>Measured</t>
        </is>
      </c>
      <c r="F127" s="11" t="inlineStr">
        <is>
          <t>deg</t>
        </is>
      </c>
      <c r="G127" s="11" t="n">
        <v>1</v>
      </c>
      <c r="H127" s="11" t="n">
        <v>1</v>
      </c>
      <c r="I127" s="11">
        <f>G127*H127</f>
        <v/>
      </c>
      <c r="J127" s="11" t="inlineStr">
        <is>
          <t>-</t>
        </is>
      </c>
      <c r="K127" s="11" t="n"/>
    </row>
    <row r="128">
      <c r="A128" s="11" t="inlineStr">
        <is>
          <t>Weather logger blue'Log XM</t>
        </is>
      </c>
      <c r="B128" s="11" t="inlineStr">
        <is>
          <t>Modbus TCP</t>
        </is>
      </c>
      <c r="C128" s="11" t="inlineStr">
        <is>
          <t>Ambient temperature</t>
        </is>
      </c>
      <c r="D128" s="11" t="inlineStr">
        <is>
          <t>Read</t>
        </is>
      </c>
      <c r="E128" s="11" t="inlineStr">
        <is>
          <t>Measured</t>
        </is>
      </c>
      <c r="F128" s="11" t="inlineStr">
        <is>
          <t>deg C</t>
        </is>
      </c>
      <c r="G128" s="11" t="n">
        <v>1</v>
      </c>
      <c r="H128" s="11" t="n">
        <v>1</v>
      </c>
      <c r="I128" s="11">
        <f>G128*H128</f>
        <v/>
      </c>
      <c r="J128" s="11" t="inlineStr">
        <is>
          <t>-</t>
        </is>
      </c>
      <c r="K128" s="11" t="n"/>
    </row>
    <row r="129">
      <c r="A129" s="11" t="inlineStr">
        <is>
          <t>Weather logger blue'Log XM</t>
        </is>
      </c>
      <c r="B129" s="11" t="inlineStr">
        <is>
          <t>Modbus TCP</t>
        </is>
      </c>
      <c r="C129" s="11" t="inlineStr">
        <is>
          <t>Module temperature</t>
        </is>
      </c>
      <c r="D129" s="11" t="inlineStr">
        <is>
          <t>Read</t>
        </is>
      </c>
      <c r="E129" s="11" t="inlineStr">
        <is>
          <t>Measured</t>
        </is>
      </c>
      <c r="F129" s="11" t="inlineStr">
        <is>
          <t>deg C</t>
        </is>
      </c>
      <c r="G129" s="11" t="n">
        <v>1</v>
      </c>
      <c r="H129" s="11" t="n">
        <v>1</v>
      </c>
      <c r="I129" s="11">
        <f>G129*H129</f>
        <v/>
      </c>
      <c r="J129" s="11" t="inlineStr">
        <is>
          <t>-</t>
        </is>
      </c>
      <c r="K129" s="11" t="n"/>
    </row>
    <row r="130">
      <c r="A130" s="11" t="inlineStr">
        <is>
          <t>Weather logger blue'Log XM</t>
        </is>
      </c>
      <c r="B130" s="11" t="inlineStr">
        <is>
          <t>Modbus TCP</t>
        </is>
      </c>
      <c r="C130" s="11" t="inlineStr">
        <is>
          <t>Logger healthy</t>
        </is>
      </c>
      <c r="D130" s="11" t="inlineStr">
        <is>
          <t>Read</t>
        </is>
      </c>
      <c r="E130" s="11" t="inlineStr">
        <is>
          <t>Status</t>
        </is>
      </c>
      <c r="F130" s="11" t="inlineStr">
        <is>
          <t>-</t>
        </is>
      </c>
      <c r="G130" s="11" t="n">
        <v>1</v>
      </c>
      <c r="H130" s="11" t="n">
        <v>1</v>
      </c>
      <c r="I130" s="11">
        <f>G130*H130</f>
        <v/>
      </c>
      <c r="J130" s="11" t="inlineStr">
        <is>
          <t>-</t>
        </is>
      </c>
      <c r="K130" s="11" t="n"/>
    </row>
    <row r="131">
      <c r="A131" s="11" t="inlineStr">
        <is>
          <t>UPS</t>
        </is>
      </c>
      <c r="B131" s="11" t="inlineStr">
        <is>
          <t>Modbus TCP or SNMP</t>
        </is>
      </c>
      <c r="C131" s="11" t="inlineStr">
        <is>
          <t>Input voltage</t>
        </is>
      </c>
      <c r="D131" s="11" t="inlineStr">
        <is>
          <t>Read</t>
        </is>
      </c>
      <c r="E131" s="11" t="inlineStr">
        <is>
          <t>Measured</t>
        </is>
      </c>
      <c r="F131" s="11" t="inlineStr">
        <is>
          <t>V</t>
        </is>
      </c>
      <c r="G131" s="11" t="n">
        <v>1</v>
      </c>
      <c r="H131" s="11" t="n">
        <v>1</v>
      </c>
      <c r="I131" s="11">
        <f>G131*H131</f>
        <v/>
      </c>
      <c r="J131" s="11" t="inlineStr">
        <is>
          <t>-</t>
        </is>
      </c>
      <c r="K131" s="11" t="n"/>
    </row>
    <row r="132">
      <c r="A132" s="11" t="inlineStr">
        <is>
          <t>UPS</t>
        </is>
      </c>
      <c r="B132" s="11" t="inlineStr">
        <is>
          <t>Modbus TCP or SNMP</t>
        </is>
      </c>
      <c r="C132" s="11" t="inlineStr">
        <is>
          <t>Output load</t>
        </is>
      </c>
      <c r="D132" s="11" t="inlineStr">
        <is>
          <t>Read</t>
        </is>
      </c>
      <c r="E132" s="11" t="inlineStr">
        <is>
          <t>Measured</t>
        </is>
      </c>
      <c r="F132" s="11" t="inlineStr">
        <is>
          <t>%</t>
        </is>
      </c>
      <c r="G132" s="11" t="n">
        <v>1</v>
      </c>
      <c r="H132" s="11" t="n">
        <v>1</v>
      </c>
      <c r="I132" s="11">
        <f>G132*H132</f>
        <v/>
      </c>
      <c r="J132" s="11" t="inlineStr">
        <is>
          <t>-</t>
        </is>
      </c>
      <c r="K132" s="11" t="n"/>
    </row>
    <row r="133">
      <c r="A133" s="11" t="inlineStr">
        <is>
          <t>UPS</t>
        </is>
      </c>
      <c r="B133" s="11" t="inlineStr">
        <is>
          <t>Modbus TCP or SNMP</t>
        </is>
      </c>
      <c r="C133" s="11" t="inlineStr">
        <is>
          <t>Battery charge</t>
        </is>
      </c>
      <c r="D133" s="11" t="inlineStr">
        <is>
          <t>Read</t>
        </is>
      </c>
      <c r="E133" s="11" t="inlineStr">
        <is>
          <t>Measured</t>
        </is>
      </c>
      <c r="F133" s="11" t="inlineStr">
        <is>
          <t>%</t>
        </is>
      </c>
      <c r="G133" s="11" t="n">
        <v>1</v>
      </c>
      <c r="H133" s="11" t="n">
        <v>1</v>
      </c>
      <c r="I133" s="11">
        <f>G133*H133</f>
        <v/>
      </c>
      <c r="J133" s="11" t="inlineStr">
        <is>
          <t>-</t>
        </is>
      </c>
      <c r="K133" s="11" t="n"/>
    </row>
    <row r="134">
      <c r="A134" s="11" t="inlineStr">
        <is>
          <t>UPS</t>
        </is>
      </c>
      <c r="B134" s="11" t="inlineStr">
        <is>
          <t>Modbus TCP or SNMP</t>
        </is>
      </c>
      <c r="C134" s="11" t="inlineStr">
        <is>
          <t>Runtime remaining</t>
        </is>
      </c>
      <c r="D134" s="11" t="inlineStr">
        <is>
          <t>Read</t>
        </is>
      </c>
      <c r="E134" s="11" t="inlineStr">
        <is>
          <t>Measured</t>
        </is>
      </c>
      <c r="F134" s="11" t="inlineStr">
        <is>
          <t>min</t>
        </is>
      </c>
      <c r="G134" s="11" t="n">
        <v>1</v>
      </c>
      <c r="H134" s="11" t="n">
        <v>1</v>
      </c>
      <c r="I134" s="11">
        <f>G134*H134</f>
        <v/>
      </c>
      <c r="J134" s="11" t="inlineStr">
        <is>
          <t>-</t>
        </is>
      </c>
      <c r="K134" s="11" t="n"/>
    </row>
    <row r="135">
      <c r="A135" s="11" t="inlineStr">
        <is>
          <t>UPS</t>
        </is>
      </c>
      <c r="B135" s="11" t="inlineStr">
        <is>
          <t>Modbus TCP or SNMP</t>
        </is>
      </c>
      <c r="C135" s="11" t="inlineStr">
        <is>
          <t>On battery</t>
        </is>
      </c>
      <c r="D135" s="11" t="inlineStr">
        <is>
          <t>Read</t>
        </is>
      </c>
      <c r="E135" s="11" t="inlineStr">
        <is>
          <t>Status</t>
        </is>
      </c>
      <c r="F135" s="11" t="inlineStr">
        <is>
          <t>-</t>
        </is>
      </c>
      <c r="G135" s="11" t="n">
        <v>1</v>
      </c>
      <c r="H135" s="11" t="n">
        <v>1</v>
      </c>
      <c r="I135" s="11">
        <f>G135*H135</f>
        <v/>
      </c>
      <c r="J135" s="11" t="inlineStr">
        <is>
          <t>-</t>
        </is>
      </c>
      <c r="K135" s="11" t="n"/>
    </row>
    <row r="136" ht="25.5" customHeight="1">
      <c r="A136" s="11" t="inlineStr">
        <is>
          <t>UPS</t>
        </is>
      </c>
      <c r="B136" s="11" t="inlineStr">
        <is>
          <t>Modbus TCP or SNMP</t>
        </is>
      </c>
      <c r="C136" s="11" t="inlineStr">
        <is>
          <t>Fault</t>
        </is>
      </c>
      <c r="D136" s="11" t="inlineStr">
        <is>
          <t>Read</t>
        </is>
      </c>
      <c r="E136" s="11" t="inlineStr">
        <is>
          <t>Status</t>
        </is>
      </c>
      <c r="F136" s="11" t="inlineStr">
        <is>
          <t>-</t>
        </is>
      </c>
      <c r="G136" s="11" t="n">
        <v>1</v>
      </c>
      <c r="H136" s="11" t="n">
        <v>1</v>
      </c>
      <c r="I136" s="11">
        <f>G136*H136</f>
        <v/>
      </c>
      <c r="J136" s="11" t="inlineStr">
        <is>
          <t>-</t>
        </is>
      </c>
      <c r="K136" s="11" t="n"/>
    </row>
    <row r="137">
      <c r="A137" s="11" t="inlineStr">
        <is>
          <t>Network switches (core and field)</t>
        </is>
      </c>
      <c r="B137" s="11" t="inlineStr">
        <is>
          <t>SNMP v3</t>
        </is>
      </c>
      <c r="C137" s="11" t="inlineStr">
        <is>
          <t>Device healthy</t>
        </is>
      </c>
      <c r="D137" s="11" t="inlineStr">
        <is>
          <t>Read</t>
        </is>
      </c>
      <c r="E137" s="11" t="inlineStr">
        <is>
          <t>Status</t>
        </is>
      </c>
      <c r="F137" s="11" t="inlineStr">
        <is>
          <t>-</t>
        </is>
      </c>
      <c r="G137" s="11" t="n">
        <v>7</v>
      </c>
      <c r="H137" s="11" t="n">
        <v>1</v>
      </c>
      <c r="I137" s="11">
        <f>G137*H137</f>
        <v/>
      </c>
      <c r="J137" s="11" t="inlineStr">
        <is>
          <t>-</t>
        </is>
      </c>
      <c r="K137" s="11" t="n"/>
    </row>
    <row r="138">
      <c r="A138" s="11" t="inlineStr">
        <is>
          <t>Network switches (core and field)</t>
        </is>
      </c>
      <c r="B138" s="11" t="inlineStr">
        <is>
          <t>SNMP v3</t>
        </is>
      </c>
      <c r="C138" s="11" t="inlineStr">
        <is>
          <t>Ring status</t>
        </is>
      </c>
      <c r="D138" s="11" t="inlineStr">
        <is>
          <t>Read</t>
        </is>
      </c>
      <c r="E138" s="11" t="inlineStr">
        <is>
          <t>Status</t>
        </is>
      </c>
      <c r="F138" s="11" t="inlineStr">
        <is>
          <t>-</t>
        </is>
      </c>
      <c r="G138" s="11" t="n">
        <v>7</v>
      </c>
      <c r="H138" s="11" t="n">
        <v>1</v>
      </c>
      <c r="I138" s="11">
        <f>G138*H138</f>
        <v/>
      </c>
      <c r="J138" s="11" t="inlineStr">
        <is>
          <t>-</t>
        </is>
      </c>
      <c r="K138" s="11" t="n"/>
    </row>
    <row r="139">
      <c r="A139" s="11" t="inlineStr">
        <is>
          <t>Firewall and GPS time server</t>
        </is>
      </c>
      <c r="B139" s="11" t="inlineStr">
        <is>
          <t>SNMP v3</t>
        </is>
      </c>
      <c r="C139" s="11" t="inlineStr">
        <is>
          <t>Device healthy</t>
        </is>
      </c>
      <c r="D139" s="11" t="inlineStr">
        <is>
          <t>Read</t>
        </is>
      </c>
      <c r="E139" s="11" t="inlineStr">
        <is>
          <t>Status</t>
        </is>
      </c>
      <c r="F139" s="11" t="inlineStr">
        <is>
          <t>-</t>
        </is>
      </c>
      <c r="G139" s="11" t="n">
        <v>2</v>
      </c>
      <c r="H139" s="11" t="n">
        <v>1</v>
      </c>
      <c r="I139" s="11">
        <f>G139*H139</f>
        <v/>
      </c>
      <c r="J139" s="11" t="inlineStr">
        <is>
          <t>-</t>
        </is>
      </c>
      <c r="K139" s="11" t="n"/>
    </row>
    <row r="140">
      <c r="A140" s="11" t="inlineStr">
        <is>
          <t>Firewall and GPS time server</t>
        </is>
      </c>
      <c r="B140" s="11" t="inlineStr">
        <is>
          <t>SNMP v3</t>
        </is>
      </c>
      <c r="C140" s="11" t="inlineStr">
        <is>
          <t>Time synchronised / VPN session active</t>
        </is>
      </c>
      <c r="D140" s="11" t="inlineStr">
        <is>
          <t>Read</t>
        </is>
      </c>
      <c r="E140" s="11" t="inlineStr">
        <is>
          <t>Status</t>
        </is>
      </c>
      <c r="F140" s="11" t="inlineStr">
        <is>
          <t>-</t>
        </is>
      </c>
      <c r="G140" s="11" t="n">
        <v>2</v>
      </c>
      <c r="H140" s="11" t="n">
        <v>1</v>
      </c>
      <c r="I140" s="11">
        <f>G140*H140</f>
        <v/>
      </c>
      <c r="J140" s="11" t="inlineStr">
        <is>
          <t>-</t>
        </is>
      </c>
      <c r="K140" s="11" t="n"/>
    </row>
    <row r="141">
      <c r="A141" s="11" t="inlineStr">
        <is>
          <t>PLC box</t>
        </is>
      </c>
      <c r="B141" s="11" t="inlineStr">
        <is>
          <t>Modbus TCP</t>
        </is>
      </c>
      <c r="C141" s="11" t="inlineStr">
        <is>
          <t>Communication healthy per inverter (4 points)</t>
        </is>
      </c>
      <c r="D141" s="11" t="inlineStr">
        <is>
          <t>Read</t>
        </is>
      </c>
      <c r="E141" s="11" t="inlineStr">
        <is>
          <t>Status</t>
        </is>
      </c>
      <c r="F141" s="11" t="inlineStr">
        <is>
          <t>-</t>
        </is>
      </c>
      <c r="G141" s="11" t="n">
        <v>1</v>
      </c>
      <c r="H141" s="11" t="n">
        <v>4</v>
      </c>
      <c r="I141" s="11">
        <f>G141*H141</f>
        <v/>
      </c>
      <c r="J141" s="11" t="inlineStr">
        <is>
          <t>-</t>
        </is>
      </c>
      <c r="K141" s="11" t="n"/>
    </row>
    <row r="142">
      <c r="A142" s="11" t="inlineStr">
        <is>
          <t>SICAM CP-8050 internal</t>
        </is>
      </c>
      <c r="B142" s="11" t="inlineStr">
        <is>
          <t>Internal</t>
        </is>
      </c>
      <c r="C142" s="11" t="inlineStr">
        <is>
          <t>Controller healthy</t>
        </is>
      </c>
      <c r="D142" s="11" t="inlineStr">
        <is>
          <t>Read</t>
        </is>
      </c>
      <c r="E142" s="11" t="inlineStr">
        <is>
          <t>Status</t>
        </is>
      </c>
      <c r="F142" s="11" t="inlineStr">
        <is>
          <t>-</t>
        </is>
      </c>
      <c r="G142" s="11" t="n">
        <v>1</v>
      </c>
      <c r="H142" s="11" t="n">
        <v>1</v>
      </c>
      <c r="I142" s="11">
        <f>G142*H142</f>
        <v/>
      </c>
      <c r="J142" s="11" t="inlineStr">
        <is>
          <t>-</t>
        </is>
      </c>
      <c r="K142" s="11" t="n"/>
    </row>
    <row r="143">
      <c r="A143" s="11" t="inlineStr">
        <is>
          <t>SICAM CP-8050 internal</t>
        </is>
      </c>
      <c r="B143" s="11" t="inlineStr">
        <is>
          <t>Internal</t>
        </is>
      </c>
      <c r="C143" s="11" t="inlineStr">
        <is>
          <t>Power supply 1 healthy</t>
        </is>
      </c>
      <c r="D143" s="11" t="inlineStr">
        <is>
          <t>Read</t>
        </is>
      </c>
      <c r="E143" s="11" t="inlineStr">
        <is>
          <t>Status</t>
        </is>
      </c>
      <c r="F143" s="11" t="inlineStr">
        <is>
          <t>-</t>
        </is>
      </c>
      <c r="G143" s="11" t="n">
        <v>1</v>
      </c>
      <c r="H143" s="11" t="n">
        <v>1</v>
      </c>
      <c r="I143" s="11">
        <f>G143*H143</f>
        <v/>
      </c>
      <c r="J143" s="11" t="inlineStr">
        <is>
          <t>-</t>
        </is>
      </c>
      <c r="K143" s="11" t="n"/>
    </row>
    <row r="144">
      <c r="A144" s="11" t="inlineStr">
        <is>
          <t>SICAM CP-8050 internal</t>
        </is>
      </c>
      <c r="B144" s="11" t="inlineStr">
        <is>
          <t>Internal</t>
        </is>
      </c>
      <c r="C144" s="11" t="inlineStr">
        <is>
          <t>Power supply 2 healthy</t>
        </is>
      </c>
      <c r="D144" s="11" t="inlineStr">
        <is>
          <t>Read</t>
        </is>
      </c>
      <c r="E144" s="11" t="inlineStr">
        <is>
          <t>Status</t>
        </is>
      </c>
      <c r="F144" s="11" t="inlineStr">
        <is>
          <t>-</t>
        </is>
      </c>
      <c r="G144" s="11" t="n">
        <v>1</v>
      </c>
      <c r="H144" s="11" t="n">
        <v>1</v>
      </c>
      <c r="I144" s="11">
        <f>G144*H144</f>
        <v/>
      </c>
      <c r="J144" s="11" t="inlineStr">
        <is>
          <t>-</t>
        </is>
      </c>
      <c r="K144" s="11" t="n"/>
    </row>
    <row r="145">
      <c r="A145" s="11" t="inlineStr">
        <is>
          <t>SICAM CP-8050 internal</t>
        </is>
      </c>
      <c r="B145" s="11" t="inlineStr">
        <is>
          <t>Internal</t>
        </is>
      </c>
      <c r="C145" s="11" t="inlineStr">
        <is>
          <t>I/O row 1 healthy</t>
        </is>
      </c>
      <c r="D145" s="11" t="inlineStr">
        <is>
          <t>Read</t>
        </is>
      </c>
      <c r="E145" s="11" t="inlineStr">
        <is>
          <t>Status</t>
        </is>
      </c>
      <c r="F145" s="11" t="inlineStr">
        <is>
          <t>-</t>
        </is>
      </c>
      <c r="G145" s="11" t="n">
        <v>1</v>
      </c>
      <c r="H145" s="11" t="n">
        <v>1</v>
      </c>
      <c r="I145" s="11">
        <f>G145*H145</f>
        <v/>
      </c>
      <c r="J145" s="11" t="inlineStr">
        <is>
          <t>-</t>
        </is>
      </c>
      <c r="K145" s="11" t="n"/>
    </row>
    <row r="146" ht="25.5" customHeight="1">
      <c r="A146" s="11" t="inlineStr">
        <is>
          <t>SICAM CP-8050 internal</t>
        </is>
      </c>
      <c r="B146" s="11" t="inlineStr">
        <is>
          <t>Internal</t>
        </is>
      </c>
      <c r="C146" s="11" t="inlineStr">
        <is>
          <t>I/O row 2 link healthy</t>
        </is>
      </c>
      <c r="D146" s="11" t="inlineStr">
        <is>
          <t>Read</t>
        </is>
      </c>
      <c r="E146" s="11" t="inlineStr">
        <is>
          <t>Status</t>
        </is>
      </c>
      <c r="F146" s="11" t="inlineStr">
        <is>
          <t>-</t>
        </is>
      </c>
      <c r="G146" s="11" t="n">
        <v>1</v>
      </c>
      <c r="H146" s="11" t="n">
        <v>1</v>
      </c>
      <c r="I146" s="11">
        <f>G146*H146</f>
        <v/>
      </c>
      <c r="J146" s="11" t="inlineStr">
        <is>
          <t>-</t>
        </is>
      </c>
      <c r="K146" s="11" t="n"/>
    </row>
    <row r="147">
      <c r="A147" s="11" t="inlineStr">
        <is>
          <t>SICAM CP-8050 internal</t>
        </is>
      </c>
      <c r="B147" s="11" t="inlineStr">
        <is>
          <t>Internal</t>
        </is>
      </c>
      <c r="C147" s="11" t="inlineStr">
        <is>
          <t>I/O row 3 link healthy</t>
        </is>
      </c>
      <c r="D147" s="11" t="inlineStr">
        <is>
          <t>Read</t>
        </is>
      </c>
      <c r="E147" s="11" t="inlineStr">
        <is>
          <t>Status</t>
        </is>
      </c>
      <c r="F147" s="11" t="inlineStr">
        <is>
          <t>-</t>
        </is>
      </c>
      <c r="G147" s="11" t="n">
        <v>1</v>
      </c>
      <c r="H147" s="11" t="n">
        <v>1</v>
      </c>
      <c r="I147" s="11">
        <f>G147*H147</f>
        <v/>
      </c>
      <c r="J147" s="11" t="inlineStr">
        <is>
          <t>-</t>
        </is>
      </c>
      <c r="K147" s="11" t="n"/>
    </row>
    <row r="148">
      <c r="A148" s="11" t="inlineStr">
        <is>
          <t>SICAM CP-8050 internal</t>
        </is>
      </c>
      <c r="B148" s="11" t="inlineStr">
        <is>
          <t>Internal</t>
        </is>
      </c>
      <c r="C148" s="11" t="inlineStr">
        <is>
          <t>I/O row 4 link healthy</t>
        </is>
      </c>
      <c r="D148" s="11" t="inlineStr">
        <is>
          <t>Read</t>
        </is>
      </c>
      <c r="E148" s="11" t="inlineStr">
        <is>
          <t>Status</t>
        </is>
      </c>
      <c r="F148" s="11" t="inlineStr">
        <is>
          <t>-</t>
        </is>
      </c>
      <c r="G148" s="11" t="n">
        <v>1</v>
      </c>
      <c r="H148" s="11" t="n">
        <v>1</v>
      </c>
      <c r="I148" s="11">
        <f>G148*H148</f>
        <v/>
      </c>
      <c r="J148" s="11" t="inlineStr">
        <is>
          <t>-</t>
        </is>
      </c>
      <c r="K148" s="11" t="n"/>
    </row>
    <row r="149">
      <c r="A149" s="11" t="inlineStr">
        <is>
          <t>SICAM CP-8050 internal</t>
        </is>
      </c>
      <c r="B149" s="11" t="inlineStr">
        <is>
          <t>Internal</t>
        </is>
      </c>
      <c r="C149" s="11" t="inlineStr">
        <is>
          <t>I/O row 5 link healthy</t>
        </is>
      </c>
      <c r="D149" s="11" t="inlineStr">
        <is>
          <t>Read</t>
        </is>
      </c>
      <c r="E149" s="11" t="inlineStr">
        <is>
          <t>Status</t>
        </is>
      </c>
      <c r="F149" s="11" t="inlineStr">
        <is>
          <t>-</t>
        </is>
      </c>
      <c r="G149" s="11" t="n">
        <v>1</v>
      </c>
      <c r="H149" s="11" t="n">
        <v>1</v>
      </c>
      <c r="I149" s="11">
        <f>G149*H149</f>
        <v/>
      </c>
      <c r="J149" s="11" t="inlineStr">
        <is>
          <t>-</t>
        </is>
      </c>
      <c r="K149" s="11" t="n"/>
    </row>
    <row r="150">
      <c r="A150" s="11" t="inlineStr">
        <is>
          <t>SICAM CP-8050 internal</t>
        </is>
      </c>
      <c r="B150" s="11" t="inlineStr">
        <is>
          <t>Internal</t>
        </is>
      </c>
      <c r="C150" s="11" t="inlineStr">
        <is>
          <t>I/O row 6 link healthy</t>
        </is>
      </c>
      <c r="D150" s="11" t="inlineStr">
        <is>
          <t>Read</t>
        </is>
      </c>
      <c r="E150" s="11" t="inlineStr">
        <is>
          <t>Status</t>
        </is>
      </c>
      <c r="F150" s="11" t="inlineStr">
        <is>
          <t>-</t>
        </is>
      </c>
      <c r="G150" s="11" t="n">
        <v>1</v>
      </c>
      <c r="H150" s="11" t="n">
        <v>1</v>
      </c>
      <c r="I150" s="11">
        <f>G150*H150</f>
        <v/>
      </c>
      <c r="J150" s="11" t="inlineStr">
        <is>
          <t>-</t>
        </is>
      </c>
      <c r="K150" s="11" t="n"/>
    </row>
    <row r="151">
      <c r="A151" s="11" t="inlineStr">
        <is>
          <t>SICAM CP-8050 internal</t>
        </is>
      </c>
      <c r="B151" s="11" t="inlineStr">
        <is>
          <t>Internal</t>
        </is>
      </c>
      <c r="C151" s="11" t="inlineStr">
        <is>
          <t>Link to each communication device healthy (8 links)</t>
        </is>
      </c>
      <c r="D151" s="11" t="inlineStr">
        <is>
          <t>Read</t>
        </is>
      </c>
      <c r="E151" s="11" t="inlineStr">
        <is>
          <t>Status</t>
        </is>
      </c>
      <c r="F151" s="11" t="inlineStr">
        <is>
          <t>-</t>
        </is>
      </c>
      <c r="G151" s="11" t="n">
        <v>1</v>
      </c>
      <c r="H151" s="11" t="n">
        <v>8</v>
      </c>
      <c r="I151" s="11">
        <f>G151*H151</f>
        <v/>
      </c>
      <c r="J151" s="11" t="inlineStr">
        <is>
          <t>-</t>
        </is>
      </c>
      <c r="K151" s="11" t="n"/>
    </row>
    <row r="152"/>
    <row r="153">
      <c r="H153" s="2" t="inlineStr">
        <is>
          <t>Total</t>
        </is>
      </c>
      <c r="I153" s="2">
        <f>SUM(I2:I151)</f>
        <v/>
      </c>
    </row>
    <row r="154">
      <c r="H154" s="4" t="inlineStr">
        <is>
          <t>Read</t>
        </is>
      </c>
      <c r="I154" s="4">
        <f>SUMIF(D2:D151,"Read",I2:I151)+SUMIF(D2:D151,"Read/Write",I2:I151)</f>
        <v/>
      </c>
    </row>
    <row r="155">
      <c r="H155" s="4" t="inlineStr">
        <is>
          <t>Write</t>
        </is>
      </c>
      <c r="I155" s="4">
        <f>SUMIF(D2:D151,"Write",I2:I151)</f>
        <v/>
      </c>
    </row>
    <row r="156"/>
    <row r="157">
      <c r="A157" s="13" t="inlineStr">
        <is>
          <t>Typical points only. Replace each block with the vendor's point table when received.</t>
        </is>
      </c>
    </row>
    <row r="158"/>
    <row r="159"/>
    <row r="160"/>
    <row r="161"/>
    <row r="162"/>
  </sheetData>
  <autoFilter ref="A1:K146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  <col width="10" customWidth="1" min="4" max="4"/>
    <col width="12" customWidth="1" min="5" max="5"/>
    <col width="8" customWidth="1" min="6" max="6"/>
    <col width="30" customWidth="1" min="7" max="7"/>
    <col width="11" customWidth="1" min="8" max="8"/>
    <col width="11" customWidth="1" min="9" max="9"/>
    <col width="11" customWidth="1" min="10" max="10"/>
    <col width="50" customWidth="1" min="11" max="11"/>
  </cols>
  <sheetData>
    <row r="1">
      <c r="A1" s="8" t="inlineStr">
        <is>
          <t>Tag</t>
        </is>
      </c>
      <c r="B1" s="8" t="inlineStr">
        <is>
          <t>Device</t>
        </is>
      </c>
      <c r="C1" s="8" t="inlineStr">
        <is>
          <t>Point</t>
        </is>
      </c>
      <c r="D1" s="8" t="inlineStr">
        <is>
          <t>Direction</t>
        </is>
      </c>
      <c r="E1" s="8" t="inlineStr">
        <is>
          <t>Data type</t>
        </is>
      </c>
      <c r="F1" s="8" t="inlineStr">
        <is>
          <t>Unit</t>
        </is>
      </c>
      <c r="G1" s="8" t="inlineStr">
        <is>
          <t>Source / protocol</t>
        </is>
      </c>
      <c r="H1" s="8" t="inlineStr">
        <is>
          <t>Alarm level</t>
        </is>
      </c>
      <c r="I1" s="8" t="inlineStr">
        <is>
          <t>Alarm when</t>
        </is>
      </c>
      <c r="J1" s="8" t="inlineStr">
        <is>
          <t>Operated by</t>
        </is>
      </c>
      <c r="K1" s="8" t="inlineStr">
        <is>
          <t>Notes</t>
        </is>
      </c>
    </row>
    <row r="2">
      <c r="A2" s="11" t="inlineStr">
        <is>
          <t>NB01-P</t>
        </is>
      </c>
      <c r="B2" s="11" t="inlineStr">
        <is>
          <t>PV inverter NB01</t>
        </is>
      </c>
      <c r="C2" s="11" t="inlineStr">
        <is>
          <t>Active power</t>
        </is>
      </c>
      <c r="D2" s="11" t="inlineStr">
        <is>
          <t>Read</t>
        </is>
      </c>
      <c r="E2" s="11" t="inlineStr">
        <is>
          <t>Measured</t>
        </is>
      </c>
      <c r="F2" s="11" t="inlineStr">
        <is>
          <t>kW</t>
        </is>
      </c>
      <c r="G2" s="11" t="inlineStr">
        <is>
          <t>PLC box, Modbus TCP</t>
        </is>
      </c>
      <c r="H2" s="11" t="inlineStr">
        <is>
          <t>-</t>
        </is>
      </c>
      <c r="I2" s="11" t="inlineStr">
        <is>
          <t>-</t>
        </is>
      </c>
      <c r="J2" s="11" t="inlineStr">
        <is>
          <t>-</t>
        </is>
      </c>
      <c r="K2" s="11" t="n"/>
    </row>
    <row r="3">
      <c r="A3" s="11" t="inlineStr">
        <is>
          <t>NB01-Q</t>
        </is>
      </c>
      <c r="B3" s="11" t="inlineStr">
        <is>
          <t>PV inverter NB01</t>
        </is>
      </c>
      <c r="C3" s="11" t="inlineStr">
        <is>
          <t>Reactive power</t>
        </is>
      </c>
      <c r="D3" s="11" t="inlineStr">
        <is>
          <t>Read</t>
        </is>
      </c>
      <c r="E3" s="11" t="inlineStr">
        <is>
          <t>Measured</t>
        </is>
      </c>
      <c r="F3" s="11" t="inlineStr">
        <is>
          <t>kvar</t>
        </is>
      </c>
      <c r="G3" s="11" t="inlineStr">
        <is>
          <t>PLC box, Modbus TCP</t>
        </is>
      </c>
      <c r="H3" s="11" t="inlineStr">
        <is>
          <t>-</t>
        </is>
      </c>
      <c r="I3" s="11" t="inlineStr">
        <is>
          <t>-</t>
        </is>
      </c>
      <c r="J3" s="11" t="inlineStr">
        <is>
          <t>-</t>
        </is>
      </c>
      <c r="K3" s="11" t="n"/>
    </row>
    <row r="4">
      <c r="A4" s="11" t="inlineStr">
        <is>
          <t>NB01-U-L1</t>
        </is>
      </c>
      <c r="B4" s="11" t="inlineStr">
        <is>
          <t>PV inverter NB01</t>
        </is>
      </c>
      <c r="C4" s="11" t="inlineStr">
        <is>
          <t>AC voltage L1, L2, L3 (3 points)</t>
        </is>
      </c>
      <c r="D4" s="11" t="inlineStr">
        <is>
          <t>Read</t>
        </is>
      </c>
      <c r="E4" s="11" t="inlineStr">
        <is>
          <t>Measured</t>
        </is>
      </c>
      <c r="F4" s="11" t="inlineStr">
        <is>
          <t>V</t>
        </is>
      </c>
      <c r="G4" s="11" t="inlineStr">
        <is>
          <t>PLC box, Modbus TCP</t>
        </is>
      </c>
      <c r="H4" s="11" t="inlineStr">
        <is>
          <t>-</t>
        </is>
      </c>
      <c r="I4" s="11" t="inlineStr">
        <is>
          <t>-</t>
        </is>
      </c>
      <c r="J4" s="11" t="inlineStr">
        <is>
          <t>-</t>
        </is>
      </c>
      <c r="K4" s="11" t="n"/>
    </row>
    <row r="5">
      <c r="A5" s="11" t="inlineStr">
        <is>
          <t>NB01-U-L2</t>
        </is>
      </c>
      <c r="B5" s="11" t="inlineStr">
        <is>
          <t>PV inverter NB01</t>
        </is>
      </c>
      <c r="C5" s="11" t="inlineStr">
        <is>
          <t>AC voltage L1, L2, L3 (3 points)</t>
        </is>
      </c>
      <c r="D5" s="11" t="inlineStr">
        <is>
          <t>Read</t>
        </is>
      </c>
      <c r="E5" s="11" t="inlineStr">
        <is>
          <t>Measured</t>
        </is>
      </c>
      <c r="F5" s="11" t="inlineStr">
        <is>
          <t>V</t>
        </is>
      </c>
      <c r="G5" s="11" t="inlineStr">
        <is>
          <t>PLC box, Modbus TCP</t>
        </is>
      </c>
      <c r="H5" s="11" t="inlineStr">
        <is>
          <t>-</t>
        </is>
      </c>
      <c r="I5" s="11" t="inlineStr">
        <is>
          <t>-</t>
        </is>
      </c>
      <c r="J5" s="11" t="inlineStr">
        <is>
          <t>-</t>
        </is>
      </c>
      <c r="K5" s="11" t="n"/>
    </row>
    <row r="6">
      <c r="A6" s="11" t="inlineStr">
        <is>
          <t>NB01-U-L3</t>
        </is>
      </c>
      <c r="B6" s="11" t="inlineStr">
        <is>
          <t>PV inverter NB01</t>
        </is>
      </c>
      <c r="C6" s="11" t="inlineStr">
        <is>
          <t>AC voltage L1, L2, L3 (3 points)</t>
        </is>
      </c>
      <c r="D6" s="11" t="inlineStr">
        <is>
          <t>Read</t>
        </is>
      </c>
      <c r="E6" s="11" t="inlineStr">
        <is>
          <t>Measured</t>
        </is>
      </c>
      <c r="F6" s="11" t="inlineStr">
        <is>
          <t>V</t>
        </is>
      </c>
      <c r="G6" s="11" t="inlineStr">
        <is>
          <t>PLC box, Modbus TCP</t>
        </is>
      </c>
      <c r="H6" s="11" t="inlineStr">
        <is>
          <t>-</t>
        </is>
      </c>
      <c r="I6" s="11" t="inlineStr">
        <is>
          <t>-</t>
        </is>
      </c>
      <c r="J6" s="11" t="inlineStr">
        <is>
          <t>-</t>
        </is>
      </c>
      <c r="K6" s="11" t="n"/>
    </row>
    <row r="7">
      <c r="A7" s="11" t="inlineStr">
        <is>
          <t>NB01-I-L1</t>
        </is>
      </c>
      <c r="B7" s="11" t="inlineStr">
        <is>
          <t>PV inverter NB01</t>
        </is>
      </c>
      <c r="C7" s="11" t="inlineStr">
        <is>
          <t>AC current L1, L2, L3 (3 points)</t>
        </is>
      </c>
      <c r="D7" s="11" t="inlineStr">
        <is>
          <t>Read</t>
        </is>
      </c>
      <c r="E7" s="11" t="inlineStr">
        <is>
          <t>Measured</t>
        </is>
      </c>
      <c r="F7" s="11" t="inlineStr">
        <is>
          <t>A</t>
        </is>
      </c>
      <c r="G7" s="11" t="inlineStr">
        <is>
          <t>PLC box, Modbus TCP</t>
        </is>
      </c>
      <c r="H7" s="11" t="inlineStr">
        <is>
          <t>-</t>
        </is>
      </c>
      <c r="I7" s="11" t="inlineStr">
        <is>
          <t>-</t>
        </is>
      </c>
      <c r="J7" s="11" t="inlineStr">
        <is>
          <t>-</t>
        </is>
      </c>
      <c r="K7" s="11" t="n"/>
    </row>
    <row r="8">
      <c r="A8" s="11" t="inlineStr">
        <is>
          <t>NB01-I-L2</t>
        </is>
      </c>
      <c r="B8" s="11" t="inlineStr">
        <is>
          <t>PV inverter NB01</t>
        </is>
      </c>
      <c r="C8" s="11" t="inlineStr">
        <is>
          <t>AC current L1, L2, L3 (3 points)</t>
        </is>
      </c>
      <c r="D8" s="11" t="inlineStr">
        <is>
          <t>Read</t>
        </is>
      </c>
      <c r="E8" s="11" t="inlineStr">
        <is>
          <t>Measured</t>
        </is>
      </c>
      <c r="F8" s="11" t="inlineStr">
        <is>
          <t>A</t>
        </is>
      </c>
      <c r="G8" s="11" t="inlineStr">
        <is>
          <t>PLC box, Modbus TCP</t>
        </is>
      </c>
      <c r="H8" s="11" t="inlineStr">
        <is>
          <t>-</t>
        </is>
      </c>
      <c r="I8" s="11" t="inlineStr">
        <is>
          <t>-</t>
        </is>
      </c>
      <c r="J8" s="11" t="inlineStr">
        <is>
          <t>-</t>
        </is>
      </c>
      <c r="K8" s="11" t="n"/>
    </row>
    <row r="9">
      <c r="A9" s="11" t="inlineStr">
        <is>
          <t>NB01-I-L3</t>
        </is>
      </c>
      <c r="B9" s="11" t="inlineStr">
        <is>
          <t>PV inverter NB01</t>
        </is>
      </c>
      <c r="C9" s="11" t="inlineStr">
        <is>
          <t>AC current L1, L2, L3 (3 points)</t>
        </is>
      </c>
      <c r="D9" s="11" t="inlineStr">
        <is>
          <t>Read</t>
        </is>
      </c>
      <c r="E9" s="11" t="inlineStr">
        <is>
          <t>Measured</t>
        </is>
      </c>
      <c r="F9" s="11" t="inlineStr">
        <is>
          <t>A</t>
        </is>
      </c>
      <c r="G9" s="11" t="inlineStr">
        <is>
          <t>PLC box, Modbus TCP</t>
        </is>
      </c>
      <c r="H9" s="11" t="inlineStr">
        <is>
          <t>-</t>
        </is>
      </c>
      <c r="I9" s="11" t="inlineStr">
        <is>
          <t>-</t>
        </is>
      </c>
      <c r="J9" s="11" t="inlineStr">
        <is>
          <t>-</t>
        </is>
      </c>
      <c r="K9" s="11" t="n"/>
    </row>
    <row r="10">
      <c r="A10" s="11" t="inlineStr">
        <is>
          <t>NB01-F</t>
        </is>
      </c>
      <c r="B10" s="11" t="inlineStr">
        <is>
          <t>PV inverter NB01</t>
        </is>
      </c>
      <c r="C10" s="11" t="inlineStr">
        <is>
          <t>Frequency</t>
        </is>
      </c>
      <c r="D10" s="11" t="inlineStr">
        <is>
          <t>Read</t>
        </is>
      </c>
      <c r="E10" s="11" t="inlineStr">
        <is>
          <t>Measured</t>
        </is>
      </c>
      <c r="F10" s="11" t="inlineStr">
        <is>
          <t>Hz</t>
        </is>
      </c>
      <c r="G10" s="11" t="inlineStr">
        <is>
          <t>PLC box, Modbus TCP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n"/>
    </row>
    <row r="11">
      <c r="A11" s="11" t="inlineStr">
        <is>
          <t>NB01-PF</t>
        </is>
      </c>
      <c r="B11" s="11" t="inlineStr">
        <is>
          <t>PV inverter NB01</t>
        </is>
      </c>
      <c r="C11" s="11" t="inlineStr">
        <is>
          <t>Power factor</t>
        </is>
      </c>
      <c r="D11" s="11" t="inlineStr">
        <is>
          <t>Read</t>
        </is>
      </c>
      <c r="E11" s="11" t="inlineStr">
        <is>
          <t>Measured</t>
        </is>
      </c>
      <c r="F11" s="11" t="inlineStr">
        <is>
          <t>-</t>
        </is>
      </c>
      <c r="G11" s="11" t="inlineStr">
        <is>
          <t>PLC box, Modbus TCP</t>
        </is>
      </c>
      <c r="H11" s="11" t="inlineStr">
        <is>
          <t>-</t>
        </is>
      </c>
      <c r="I11" s="11" t="inlineStr">
        <is>
          <t>-</t>
        </is>
      </c>
      <c r="J11" s="11" t="inlineStr">
        <is>
          <t>-</t>
        </is>
      </c>
      <c r="K11" s="11" t="n"/>
    </row>
    <row r="12">
      <c r="A12" s="11" t="inlineStr">
        <is>
          <t>NB01-U-DC</t>
        </is>
      </c>
      <c r="B12" s="11" t="inlineStr">
        <is>
          <t>PV inverter NB01</t>
        </is>
      </c>
      <c r="C12" s="11" t="inlineStr">
        <is>
          <t>DC voltage</t>
        </is>
      </c>
      <c r="D12" s="11" t="inlineStr">
        <is>
          <t>Read</t>
        </is>
      </c>
      <c r="E12" s="11" t="inlineStr">
        <is>
          <t>Measured</t>
        </is>
      </c>
      <c r="F12" s="11" t="inlineStr">
        <is>
          <t>V</t>
        </is>
      </c>
      <c r="G12" s="11" t="inlineStr">
        <is>
          <t>PLC box, Modbus TCP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n"/>
    </row>
    <row r="13">
      <c r="A13" s="11" t="inlineStr">
        <is>
          <t>NB01-I-DC</t>
        </is>
      </c>
      <c r="B13" s="11" t="inlineStr">
        <is>
          <t>PV inverter NB01</t>
        </is>
      </c>
      <c r="C13" s="11" t="inlineStr">
        <is>
          <t>DC current</t>
        </is>
      </c>
      <c r="D13" s="11" t="inlineStr">
        <is>
          <t>Read</t>
        </is>
      </c>
      <c r="E13" s="11" t="inlineStr">
        <is>
          <t>Measured</t>
        </is>
      </c>
      <c r="F13" s="11" t="inlineStr">
        <is>
          <t>A</t>
        </is>
      </c>
      <c r="G13" s="11" t="inlineStr">
        <is>
          <t>PLC box, Modbus TCP</t>
        </is>
      </c>
      <c r="H13" s="11" t="inlineStr">
        <is>
          <t>-</t>
        </is>
      </c>
      <c r="I13" s="11" t="inlineStr">
        <is>
          <t>-</t>
        </is>
      </c>
      <c r="J13" s="11" t="inlineStr">
        <is>
          <t>-</t>
        </is>
      </c>
      <c r="K13" s="11" t="n"/>
    </row>
    <row r="14">
      <c r="A14" s="11" t="inlineStr">
        <is>
          <t>NB01-P-DC</t>
        </is>
      </c>
      <c r="B14" s="11" t="inlineStr">
        <is>
          <t>PV inverter NB01</t>
        </is>
      </c>
      <c r="C14" s="11" t="inlineStr">
        <is>
          <t>DC power</t>
        </is>
      </c>
      <c r="D14" s="11" t="inlineStr">
        <is>
          <t>Read</t>
        </is>
      </c>
      <c r="E14" s="11" t="inlineStr">
        <is>
          <t>Measured</t>
        </is>
      </c>
      <c r="F14" s="11" t="inlineStr">
        <is>
          <t>kW</t>
        </is>
      </c>
      <c r="G14" s="11" t="inlineStr">
        <is>
          <t>PLC box, Modbus TCP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n"/>
    </row>
    <row r="15">
      <c r="A15" s="11" t="inlineStr">
        <is>
          <t>NB01-E-DAY</t>
        </is>
      </c>
      <c r="B15" s="11" t="inlineStr">
        <is>
          <t>PV inverter NB01</t>
        </is>
      </c>
      <c r="C15" s="11" t="inlineStr">
        <is>
          <t>Energy today</t>
        </is>
      </c>
      <c r="D15" s="11" t="inlineStr">
        <is>
          <t>Read</t>
        </is>
      </c>
      <c r="E15" s="11" t="inlineStr">
        <is>
          <t>Counter</t>
        </is>
      </c>
      <c r="F15" s="11" t="inlineStr">
        <is>
          <t>kWh</t>
        </is>
      </c>
      <c r="G15" s="11" t="inlineStr">
        <is>
          <t>PLC box, Modbus TCP</t>
        </is>
      </c>
      <c r="H15" s="11" t="inlineStr">
        <is>
          <t>-</t>
        </is>
      </c>
      <c r="I15" s="11" t="inlineStr">
        <is>
          <t>-</t>
        </is>
      </c>
      <c r="J15" s="11" t="inlineStr">
        <is>
          <t>-</t>
        </is>
      </c>
      <c r="K15" s="11" t="n"/>
    </row>
    <row r="16">
      <c r="A16" s="11" t="inlineStr">
        <is>
          <t>NB01-E-TOT</t>
        </is>
      </c>
      <c r="B16" s="11" t="inlineStr">
        <is>
          <t>PV inverter NB01</t>
        </is>
      </c>
      <c r="C16" s="11" t="inlineStr">
        <is>
          <t>Energy total</t>
        </is>
      </c>
      <c r="D16" s="11" t="inlineStr">
        <is>
          <t>Read</t>
        </is>
      </c>
      <c r="E16" s="11" t="inlineStr">
        <is>
          <t>Counter</t>
        </is>
      </c>
      <c r="F16" s="11" t="inlineStr">
        <is>
          <t>MWh</t>
        </is>
      </c>
      <c r="G16" s="11" t="inlineStr">
        <is>
          <t>PLC box, Modbus TCP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n"/>
    </row>
    <row r="17">
      <c r="A17" s="11" t="inlineStr">
        <is>
          <t>NB01-T-INT</t>
        </is>
      </c>
      <c r="B17" s="11" t="inlineStr">
        <is>
          <t>PV inverter NB01</t>
        </is>
      </c>
      <c r="C17" s="11" t="inlineStr">
        <is>
          <t>Internal temperature</t>
        </is>
      </c>
      <c r="D17" s="11" t="inlineStr">
        <is>
          <t>Read</t>
        </is>
      </c>
      <c r="E17" s="11" t="inlineStr">
        <is>
          <t>Measured</t>
        </is>
      </c>
      <c r="F17" s="11" t="inlineStr">
        <is>
          <t>deg C</t>
        </is>
      </c>
      <c r="G17" s="11" t="inlineStr">
        <is>
          <t>PLC box, Modbus TCP</t>
        </is>
      </c>
      <c r="H17" s="11" t="inlineStr">
        <is>
          <t>-</t>
        </is>
      </c>
      <c r="I17" s="11" t="inlineStr">
        <is>
          <t>-</t>
        </is>
      </c>
      <c r="J17" s="11" t="inlineStr">
        <is>
          <t>-</t>
        </is>
      </c>
      <c r="K17" s="11" t="n"/>
    </row>
    <row r="18">
      <c r="A18" s="11" t="inlineStr">
        <is>
          <t>NB01-R-ISO</t>
        </is>
      </c>
      <c r="B18" s="11" t="inlineStr">
        <is>
          <t>PV inverter NB01</t>
        </is>
      </c>
      <c r="C18" s="11" t="inlineStr">
        <is>
          <t>Insulation resistance</t>
        </is>
      </c>
      <c r="D18" s="11" t="inlineStr">
        <is>
          <t>Read</t>
        </is>
      </c>
      <c r="E18" s="11" t="inlineStr">
        <is>
          <t>Measured</t>
        </is>
      </c>
      <c r="F18" s="11" t="inlineStr">
        <is>
          <t>kohm</t>
        </is>
      </c>
      <c r="G18" s="11" t="inlineStr">
        <is>
          <t>PLC box, Modbus TCP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n"/>
    </row>
    <row r="19">
      <c r="A19" s="11" t="inlineStr">
        <is>
          <t>NB01-STATE</t>
        </is>
      </c>
      <c r="B19" s="11" t="inlineStr">
        <is>
          <t>PV inverter NB01</t>
        </is>
      </c>
      <c r="C19" s="11" t="inlineStr">
        <is>
          <t>Operating state</t>
        </is>
      </c>
      <c r="D19" s="11" t="inlineStr">
        <is>
          <t>Read</t>
        </is>
      </c>
      <c r="E19" s="11" t="inlineStr">
        <is>
          <t>Status</t>
        </is>
      </c>
      <c r="F19" s="11" t="inlineStr">
        <is>
          <t>-</t>
        </is>
      </c>
      <c r="G19" s="11" t="inlineStr">
        <is>
          <t>PLC box, Modbus TCP</t>
        </is>
      </c>
      <c r="H19" s="11" t="inlineStr">
        <is>
          <t>Status</t>
        </is>
      </c>
      <c r="I19" s="11" t="inlineStr">
        <is>
          <t>-</t>
        </is>
      </c>
      <c r="J19" s="11" t="inlineStr">
        <is>
          <t>-</t>
        </is>
      </c>
      <c r="K19" s="11" t="n"/>
    </row>
    <row r="20">
      <c r="A20" s="11" t="inlineStr">
        <is>
          <t>NB01-FLT-CODE</t>
        </is>
      </c>
      <c r="B20" s="11" t="inlineStr">
        <is>
          <t>PV inverter NB01</t>
        </is>
      </c>
      <c r="C20" s="11" t="inlineStr">
        <is>
          <t>Fault code</t>
        </is>
      </c>
      <c r="D20" s="11" t="inlineStr">
        <is>
          <t>Read</t>
        </is>
      </c>
      <c r="E20" s="11" t="inlineStr">
        <is>
          <t>Status</t>
        </is>
      </c>
      <c r="F20" s="11" t="inlineStr">
        <is>
          <t>-</t>
        </is>
      </c>
      <c r="G20" s="11" t="inlineStr">
        <is>
          <t>PLC box, Modbus TCP</t>
        </is>
      </c>
      <c r="H20" s="11" t="inlineStr">
        <is>
          <t>Status</t>
        </is>
      </c>
      <c r="I20" s="11" t="inlineStr">
        <is>
          <t>-</t>
        </is>
      </c>
      <c r="J20" s="11" t="inlineStr">
        <is>
          <t>-</t>
        </is>
      </c>
      <c r="K20" s="11" t="n"/>
    </row>
    <row r="21">
      <c r="A21" s="11" t="inlineStr">
        <is>
          <t>NB01-ALM-CODE</t>
        </is>
      </c>
      <c r="B21" s="11" t="inlineStr">
        <is>
          <t>PV inverter NB01</t>
        </is>
      </c>
      <c r="C21" s="11" t="inlineStr">
        <is>
          <t>Alarm code</t>
        </is>
      </c>
      <c r="D21" s="11" t="inlineStr">
        <is>
          <t>Read</t>
        </is>
      </c>
      <c r="E21" s="11" t="inlineStr">
        <is>
          <t>Status</t>
        </is>
      </c>
      <c r="F21" s="11" t="inlineStr">
        <is>
          <t>-</t>
        </is>
      </c>
      <c r="G21" s="11" t="inlineStr">
        <is>
          <t>PLC box, Modbus TCP</t>
        </is>
      </c>
      <c r="H21" s="11" t="inlineStr">
        <is>
          <t>Status</t>
        </is>
      </c>
      <c r="I21" s="11" t="inlineStr">
        <is>
          <t>-</t>
        </is>
      </c>
      <c r="J21" s="11" t="inlineStr">
        <is>
          <t>-</t>
        </is>
      </c>
      <c r="K21" s="11" t="n"/>
    </row>
    <row r="22">
      <c r="A22" s="11" t="inlineStr">
        <is>
          <t>NB01-COMM-OK</t>
        </is>
      </c>
      <c r="B22" s="11" t="inlineStr">
        <is>
          <t>PV inverter NB01</t>
        </is>
      </c>
      <c r="C22" s="11" t="inlineStr">
        <is>
          <t>Communication healthy</t>
        </is>
      </c>
      <c r="D22" s="11" t="inlineStr">
        <is>
          <t>Read</t>
        </is>
      </c>
      <c r="E22" s="11" t="inlineStr">
        <is>
          <t>Status</t>
        </is>
      </c>
      <c r="F22" s="11" t="inlineStr">
        <is>
          <t>-</t>
        </is>
      </c>
      <c r="G22" s="11" t="inlineStr">
        <is>
          <t>PLC box, Modbus TCP</t>
        </is>
      </c>
      <c r="H22" s="11" t="inlineStr">
        <is>
          <t>2</t>
        </is>
      </c>
      <c r="I22" s="11" t="inlineStr">
        <is>
          <t>Off</t>
        </is>
      </c>
      <c r="J22" s="11" t="inlineStr">
        <is>
          <t>-</t>
        </is>
      </c>
      <c r="K22" s="11" t="n"/>
    </row>
    <row r="23">
      <c r="A23" s="11" t="inlineStr">
        <is>
          <t>NB01-P-LIM-SP</t>
        </is>
      </c>
      <c r="B23" s="11" t="inlineStr">
        <is>
          <t>PV inverter NB01</t>
        </is>
      </c>
      <c r="C23" s="11" t="inlineStr">
        <is>
          <t>Active power limit</t>
        </is>
      </c>
      <c r="D23" s="11" t="inlineStr">
        <is>
          <t>Write</t>
        </is>
      </c>
      <c r="E23" s="11" t="inlineStr">
        <is>
          <t>Setpoint</t>
        </is>
      </c>
      <c r="F23" s="11" t="inlineStr">
        <is>
          <t>%</t>
        </is>
      </c>
      <c r="G23" s="11" t="inlineStr">
        <is>
          <t>PLC box, Modbus TCP</t>
        </is>
      </c>
      <c r="H23" s="11" t="inlineStr">
        <is>
          <t>-</t>
        </is>
      </c>
      <c r="I23" s="11" t="inlineStr">
        <is>
          <t>-</t>
        </is>
      </c>
      <c r="J23" s="11" t="inlineStr">
        <is>
          <t>Admin</t>
        </is>
      </c>
      <c r="K23" s="11" t="inlineStr">
        <is>
          <t>Normally set by the EMS; write only if the EMS allows</t>
        </is>
      </c>
    </row>
    <row r="24">
      <c r="A24" s="11" t="inlineStr">
        <is>
          <t>NB01-START-STOP-CMD</t>
        </is>
      </c>
      <c r="B24" s="11" t="inlineStr">
        <is>
          <t>PV inverter NB01</t>
        </is>
      </c>
      <c r="C24" s="11" t="inlineStr">
        <is>
          <t>Start / stop</t>
        </is>
      </c>
      <c r="D24" s="11" t="inlineStr">
        <is>
          <t>Write</t>
        </is>
      </c>
      <c r="E24" s="11" t="inlineStr">
        <is>
          <t>Command</t>
        </is>
      </c>
      <c r="F24" s="11" t="inlineStr">
        <is>
          <t>-</t>
        </is>
      </c>
      <c r="G24" s="11" t="inlineStr">
        <is>
          <t>PLC box, Modbus TCP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Admin</t>
        </is>
      </c>
      <c r="K24" s="11" t="n"/>
    </row>
    <row r="25">
      <c r="A25" s="11" t="inlineStr">
        <is>
          <t>NB02-P</t>
        </is>
      </c>
      <c r="B25" s="11" t="inlineStr">
        <is>
          <t>PV inverter NB02</t>
        </is>
      </c>
      <c r="C25" s="11" t="inlineStr">
        <is>
          <t>Active power</t>
        </is>
      </c>
      <c r="D25" s="11" t="inlineStr">
        <is>
          <t>Read</t>
        </is>
      </c>
      <c r="E25" s="11" t="inlineStr">
        <is>
          <t>Measured</t>
        </is>
      </c>
      <c r="F25" s="11" t="inlineStr">
        <is>
          <t>kW</t>
        </is>
      </c>
      <c r="G25" s="11" t="inlineStr">
        <is>
          <t>PLC box, Modbus TCP</t>
        </is>
      </c>
      <c r="H25" s="11" t="inlineStr">
        <is>
          <t>-</t>
        </is>
      </c>
      <c r="I25" s="11" t="inlineStr">
        <is>
          <t>-</t>
        </is>
      </c>
      <c r="J25" s="11" t="inlineStr">
        <is>
          <t>-</t>
        </is>
      </c>
      <c r="K25" s="11" t="n"/>
    </row>
    <row r="26">
      <c r="A26" s="11" t="inlineStr">
        <is>
          <t>NB02-Q</t>
        </is>
      </c>
      <c r="B26" s="11" t="inlineStr">
        <is>
          <t>PV inverter NB02</t>
        </is>
      </c>
      <c r="C26" s="11" t="inlineStr">
        <is>
          <t>Reactive power</t>
        </is>
      </c>
      <c r="D26" s="11" t="inlineStr">
        <is>
          <t>Read</t>
        </is>
      </c>
      <c r="E26" s="11" t="inlineStr">
        <is>
          <t>Measured</t>
        </is>
      </c>
      <c r="F26" s="11" t="inlineStr">
        <is>
          <t>kvar</t>
        </is>
      </c>
      <c r="G26" s="11" t="inlineStr">
        <is>
          <t>PLC box, Modbus TCP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n"/>
    </row>
    <row r="27">
      <c r="A27" s="11" t="inlineStr">
        <is>
          <t>NB02-U-L1</t>
        </is>
      </c>
      <c r="B27" s="11" t="inlineStr">
        <is>
          <t>PV inverter NB02</t>
        </is>
      </c>
      <c r="C27" s="11" t="inlineStr">
        <is>
          <t>AC voltage L1, L2, L3 (3 points)</t>
        </is>
      </c>
      <c r="D27" s="11" t="inlineStr">
        <is>
          <t>Read</t>
        </is>
      </c>
      <c r="E27" s="11" t="inlineStr">
        <is>
          <t>Measured</t>
        </is>
      </c>
      <c r="F27" s="11" t="inlineStr">
        <is>
          <t>V</t>
        </is>
      </c>
      <c r="G27" s="11" t="inlineStr">
        <is>
          <t>PLC box, Modbus TCP</t>
        </is>
      </c>
      <c r="H27" s="11" t="inlineStr">
        <is>
          <t>-</t>
        </is>
      </c>
      <c r="I27" s="11" t="inlineStr">
        <is>
          <t>-</t>
        </is>
      </c>
      <c r="J27" s="11" t="inlineStr">
        <is>
          <t>-</t>
        </is>
      </c>
      <c r="K27" s="11" t="n"/>
    </row>
    <row r="28">
      <c r="A28" s="11" t="inlineStr">
        <is>
          <t>NB02-U-L2</t>
        </is>
      </c>
      <c r="B28" s="11" t="inlineStr">
        <is>
          <t>PV inverter NB02</t>
        </is>
      </c>
      <c r="C28" s="11" t="inlineStr">
        <is>
          <t>AC voltage L1, L2, L3 (3 points)</t>
        </is>
      </c>
      <c r="D28" s="11" t="inlineStr">
        <is>
          <t>Read</t>
        </is>
      </c>
      <c r="E28" s="11" t="inlineStr">
        <is>
          <t>Measured</t>
        </is>
      </c>
      <c r="F28" s="11" t="inlineStr">
        <is>
          <t>V</t>
        </is>
      </c>
      <c r="G28" s="11" t="inlineStr">
        <is>
          <t>PLC box, Modbus TCP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n"/>
    </row>
    <row r="29">
      <c r="A29" s="11" t="inlineStr">
        <is>
          <t>NB02-U-L3</t>
        </is>
      </c>
      <c r="B29" s="11" t="inlineStr">
        <is>
          <t>PV inverter NB02</t>
        </is>
      </c>
      <c r="C29" s="11" t="inlineStr">
        <is>
          <t>AC voltage L1, L2, L3 (3 points)</t>
        </is>
      </c>
      <c r="D29" s="11" t="inlineStr">
        <is>
          <t>Read</t>
        </is>
      </c>
      <c r="E29" s="11" t="inlineStr">
        <is>
          <t>Measured</t>
        </is>
      </c>
      <c r="F29" s="11" t="inlineStr">
        <is>
          <t>V</t>
        </is>
      </c>
      <c r="G29" s="11" t="inlineStr">
        <is>
          <t>PLC box, Modbus TCP</t>
        </is>
      </c>
      <c r="H29" s="11" t="inlineStr">
        <is>
          <t>-</t>
        </is>
      </c>
      <c r="I29" s="11" t="inlineStr">
        <is>
          <t>-</t>
        </is>
      </c>
      <c r="J29" s="11" t="inlineStr">
        <is>
          <t>-</t>
        </is>
      </c>
      <c r="K29" s="11" t="n"/>
    </row>
    <row r="30">
      <c r="A30" s="11" t="inlineStr">
        <is>
          <t>NB02-I-L1</t>
        </is>
      </c>
      <c r="B30" s="11" t="inlineStr">
        <is>
          <t>PV inverter NB02</t>
        </is>
      </c>
      <c r="C30" s="11" t="inlineStr">
        <is>
          <t>AC current L1, L2, L3 (3 points)</t>
        </is>
      </c>
      <c r="D30" s="11" t="inlineStr">
        <is>
          <t>Read</t>
        </is>
      </c>
      <c r="E30" s="11" t="inlineStr">
        <is>
          <t>Measured</t>
        </is>
      </c>
      <c r="F30" s="11" t="inlineStr">
        <is>
          <t>A</t>
        </is>
      </c>
      <c r="G30" s="11" t="inlineStr">
        <is>
          <t>PLC box, Modbus TCP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n"/>
    </row>
    <row r="31">
      <c r="A31" s="11" t="inlineStr">
        <is>
          <t>NB02-I-L2</t>
        </is>
      </c>
      <c r="B31" s="11" t="inlineStr">
        <is>
          <t>PV inverter NB02</t>
        </is>
      </c>
      <c r="C31" s="11" t="inlineStr">
        <is>
          <t>AC current L1, L2, L3 (3 points)</t>
        </is>
      </c>
      <c r="D31" s="11" t="inlineStr">
        <is>
          <t>Read</t>
        </is>
      </c>
      <c r="E31" s="11" t="inlineStr">
        <is>
          <t>Measured</t>
        </is>
      </c>
      <c r="F31" s="11" t="inlineStr">
        <is>
          <t>A</t>
        </is>
      </c>
      <c r="G31" s="11" t="inlineStr">
        <is>
          <t>PLC box, Modbus TCP</t>
        </is>
      </c>
      <c r="H31" s="11" t="inlineStr">
        <is>
          <t>-</t>
        </is>
      </c>
      <c r="I31" s="11" t="inlineStr">
        <is>
          <t>-</t>
        </is>
      </c>
      <c r="J31" s="11" t="inlineStr">
        <is>
          <t>-</t>
        </is>
      </c>
      <c r="K31" s="11" t="n"/>
    </row>
    <row r="32">
      <c r="A32" s="11" t="inlineStr">
        <is>
          <t>NB02-I-L3</t>
        </is>
      </c>
      <c r="B32" s="11" t="inlineStr">
        <is>
          <t>PV inverter NB02</t>
        </is>
      </c>
      <c r="C32" s="11" t="inlineStr">
        <is>
          <t>AC current L1, L2, L3 (3 points)</t>
        </is>
      </c>
      <c r="D32" s="11" t="inlineStr">
        <is>
          <t>Read</t>
        </is>
      </c>
      <c r="E32" s="11" t="inlineStr">
        <is>
          <t>Measured</t>
        </is>
      </c>
      <c r="F32" s="11" t="inlineStr">
        <is>
          <t>A</t>
        </is>
      </c>
      <c r="G32" s="11" t="inlineStr">
        <is>
          <t>PLC box, Modbus TCP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n"/>
    </row>
    <row r="33">
      <c r="A33" s="11" t="inlineStr">
        <is>
          <t>NB02-F</t>
        </is>
      </c>
      <c r="B33" s="11" t="inlineStr">
        <is>
          <t>PV inverter NB02</t>
        </is>
      </c>
      <c r="C33" s="11" t="inlineStr">
        <is>
          <t>Frequency</t>
        </is>
      </c>
      <c r="D33" s="11" t="inlineStr">
        <is>
          <t>Read</t>
        </is>
      </c>
      <c r="E33" s="11" t="inlineStr">
        <is>
          <t>Measured</t>
        </is>
      </c>
      <c r="F33" s="11" t="inlineStr">
        <is>
          <t>Hz</t>
        </is>
      </c>
      <c r="G33" s="11" t="inlineStr">
        <is>
          <t>PLC box, Modbus TCP</t>
        </is>
      </c>
      <c r="H33" s="11" t="inlineStr">
        <is>
          <t>-</t>
        </is>
      </c>
      <c r="I33" s="11" t="inlineStr">
        <is>
          <t>-</t>
        </is>
      </c>
      <c r="J33" s="11" t="inlineStr">
        <is>
          <t>-</t>
        </is>
      </c>
      <c r="K33" s="11" t="n"/>
    </row>
    <row r="34">
      <c r="A34" s="11" t="inlineStr">
        <is>
          <t>NB02-PF</t>
        </is>
      </c>
      <c r="B34" s="11" t="inlineStr">
        <is>
          <t>PV inverter NB02</t>
        </is>
      </c>
      <c r="C34" s="11" t="inlineStr">
        <is>
          <t>Power factor</t>
        </is>
      </c>
      <c r="D34" s="11" t="inlineStr">
        <is>
          <t>Read</t>
        </is>
      </c>
      <c r="E34" s="11" t="inlineStr">
        <is>
          <t>Measured</t>
        </is>
      </c>
      <c r="F34" s="11" t="inlineStr">
        <is>
          <t>-</t>
        </is>
      </c>
      <c r="G34" s="11" t="inlineStr">
        <is>
          <t>PLC box, Modbus TCP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n"/>
    </row>
    <row r="35">
      <c r="A35" s="11" t="inlineStr">
        <is>
          <t>NB02-U-DC</t>
        </is>
      </c>
      <c r="B35" s="11" t="inlineStr">
        <is>
          <t>PV inverter NB02</t>
        </is>
      </c>
      <c r="C35" s="11" t="inlineStr">
        <is>
          <t>DC voltage</t>
        </is>
      </c>
      <c r="D35" s="11" t="inlineStr">
        <is>
          <t>Read</t>
        </is>
      </c>
      <c r="E35" s="11" t="inlineStr">
        <is>
          <t>Measured</t>
        </is>
      </c>
      <c r="F35" s="11" t="inlineStr">
        <is>
          <t>V</t>
        </is>
      </c>
      <c r="G35" s="11" t="inlineStr">
        <is>
          <t>PLC box, Modbus TCP</t>
        </is>
      </c>
      <c r="H35" s="11" t="inlineStr">
        <is>
          <t>-</t>
        </is>
      </c>
      <c r="I35" s="11" t="inlineStr">
        <is>
          <t>-</t>
        </is>
      </c>
      <c r="J35" s="11" t="inlineStr">
        <is>
          <t>-</t>
        </is>
      </c>
      <c r="K35" s="11" t="n"/>
    </row>
    <row r="36">
      <c r="A36" s="11" t="inlineStr">
        <is>
          <t>NB02-I-DC</t>
        </is>
      </c>
      <c r="B36" s="11" t="inlineStr">
        <is>
          <t>PV inverter NB02</t>
        </is>
      </c>
      <c r="C36" s="11" t="inlineStr">
        <is>
          <t>DC current</t>
        </is>
      </c>
      <c r="D36" s="11" t="inlineStr">
        <is>
          <t>Read</t>
        </is>
      </c>
      <c r="E36" s="11" t="inlineStr">
        <is>
          <t>Measured</t>
        </is>
      </c>
      <c r="F36" s="11" t="inlineStr">
        <is>
          <t>A</t>
        </is>
      </c>
      <c r="G36" s="11" t="inlineStr">
        <is>
          <t>PLC box, Modbus TCP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n"/>
    </row>
    <row r="37">
      <c r="A37" s="11" t="inlineStr">
        <is>
          <t>NB02-P-DC</t>
        </is>
      </c>
      <c r="B37" s="11" t="inlineStr">
        <is>
          <t>PV inverter NB02</t>
        </is>
      </c>
      <c r="C37" s="11" t="inlineStr">
        <is>
          <t>DC power</t>
        </is>
      </c>
      <c r="D37" s="11" t="inlineStr">
        <is>
          <t>Read</t>
        </is>
      </c>
      <c r="E37" s="11" t="inlineStr">
        <is>
          <t>Measured</t>
        </is>
      </c>
      <c r="F37" s="11" t="inlineStr">
        <is>
          <t>kW</t>
        </is>
      </c>
      <c r="G37" s="11" t="inlineStr">
        <is>
          <t>PLC box, Modbus TCP</t>
        </is>
      </c>
      <c r="H37" s="11" t="inlineStr">
        <is>
          <t>-</t>
        </is>
      </c>
      <c r="I37" s="11" t="inlineStr">
        <is>
          <t>-</t>
        </is>
      </c>
      <c r="J37" s="11" t="inlineStr">
        <is>
          <t>-</t>
        </is>
      </c>
      <c r="K37" s="11" t="n"/>
    </row>
    <row r="38">
      <c r="A38" s="11" t="inlineStr">
        <is>
          <t>NB02-E-DAY</t>
        </is>
      </c>
      <c r="B38" s="11" t="inlineStr">
        <is>
          <t>PV inverter NB02</t>
        </is>
      </c>
      <c r="C38" s="11" t="inlineStr">
        <is>
          <t>Energy today</t>
        </is>
      </c>
      <c r="D38" s="11" t="inlineStr">
        <is>
          <t>Read</t>
        </is>
      </c>
      <c r="E38" s="11" t="inlineStr">
        <is>
          <t>Counter</t>
        </is>
      </c>
      <c r="F38" s="11" t="inlineStr">
        <is>
          <t>kWh</t>
        </is>
      </c>
      <c r="G38" s="11" t="inlineStr">
        <is>
          <t>PLC box, Modbus TCP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n"/>
    </row>
    <row r="39">
      <c r="A39" s="11" t="inlineStr">
        <is>
          <t>NB02-E-TOT</t>
        </is>
      </c>
      <c r="B39" s="11" t="inlineStr">
        <is>
          <t>PV inverter NB02</t>
        </is>
      </c>
      <c r="C39" s="11" t="inlineStr">
        <is>
          <t>Energy total</t>
        </is>
      </c>
      <c r="D39" s="11" t="inlineStr">
        <is>
          <t>Read</t>
        </is>
      </c>
      <c r="E39" s="11" t="inlineStr">
        <is>
          <t>Counter</t>
        </is>
      </c>
      <c r="F39" s="11" t="inlineStr">
        <is>
          <t>MWh</t>
        </is>
      </c>
      <c r="G39" s="11" t="inlineStr">
        <is>
          <t>PLC box, Modbus TCP</t>
        </is>
      </c>
      <c r="H39" s="11" t="inlineStr">
        <is>
          <t>-</t>
        </is>
      </c>
      <c r="I39" s="11" t="inlineStr">
        <is>
          <t>-</t>
        </is>
      </c>
      <c r="J39" s="11" t="inlineStr">
        <is>
          <t>-</t>
        </is>
      </c>
      <c r="K39" s="11" t="n"/>
    </row>
    <row r="40">
      <c r="A40" s="11" t="inlineStr">
        <is>
          <t>NB02-T-INT</t>
        </is>
      </c>
      <c r="B40" s="11" t="inlineStr">
        <is>
          <t>PV inverter NB02</t>
        </is>
      </c>
      <c r="C40" s="11" t="inlineStr">
        <is>
          <t>Internal temperature</t>
        </is>
      </c>
      <c r="D40" s="11" t="inlineStr">
        <is>
          <t>Read</t>
        </is>
      </c>
      <c r="E40" s="11" t="inlineStr">
        <is>
          <t>Measured</t>
        </is>
      </c>
      <c r="F40" s="11" t="inlineStr">
        <is>
          <t>deg C</t>
        </is>
      </c>
      <c r="G40" s="11" t="inlineStr">
        <is>
          <t>PLC box, Modbus TCP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n"/>
    </row>
    <row r="41">
      <c r="A41" s="11" t="inlineStr">
        <is>
          <t>NB02-R-ISO</t>
        </is>
      </c>
      <c r="B41" s="11" t="inlineStr">
        <is>
          <t>PV inverter NB02</t>
        </is>
      </c>
      <c r="C41" s="11" t="inlineStr">
        <is>
          <t>Insulation resistance</t>
        </is>
      </c>
      <c r="D41" s="11" t="inlineStr">
        <is>
          <t>Read</t>
        </is>
      </c>
      <c r="E41" s="11" t="inlineStr">
        <is>
          <t>Measured</t>
        </is>
      </c>
      <c r="F41" s="11" t="inlineStr">
        <is>
          <t>kohm</t>
        </is>
      </c>
      <c r="G41" s="11" t="inlineStr">
        <is>
          <t>PLC box, Modbus TCP</t>
        </is>
      </c>
      <c r="H41" s="11" t="inlineStr">
        <is>
          <t>-</t>
        </is>
      </c>
      <c r="I41" s="11" t="inlineStr">
        <is>
          <t>-</t>
        </is>
      </c>
      <c r="J41" s="11" t="inlineStr">
        <is>
          <t>-</t>
        </is>
      </c>
      <c r="K41" s="11" t="n"/>
    </row>
    <row r="42">
      <c r="A42" s="11" t="inlineStr">
        <is>
          <t>NB02-STATE</t>
        </is>
      </c>
      <c r="B42" s="11" t="inlineStr">
        <is>
          <t>PV inverter NB02</t>
        </is>
      </c>
      <c r="C42" s="11" t="inlineStr">
        <is>
          <t>Operating state</t>
        </is>
      </c>
      <c r="D42" s="11" t="inlineStr">
        <is>
          <t>Read</t>
        </is>
      </c>
      <c r="E42" s="11" t="inlineStr">
        <is>
          <t>Status</t>
        </is>
      </c>
      <c r="F42" s="11" t="inlineStr">
        <is>
          <t>-</t>
        </is>
      </c>
      <c r="G42" s="11" t="inlineStr">
        <is>
          <t>PLC box, Modbus TCP</t>
        </is>
      </c>
      <c r="H42" s="11" t="inlineStr">
        <is>
          <t>Status</t>
        </is>
      </c>
      <c r="I42" s="11" t="inlineStr">
        <is>
          <t>-</t>
        </is>
      </c>
      <c r="J42" s="11" t="inlineStr">
        <is>
          <t>-</t>
        </is>
      </c>
      <c r="K42" s="11" t="n"/>
    </row>
    <row r="43">
      <c r="A43" s="11" t="inlineStr">
        <is>
          <t>NB02-FLT-CODE</t>
        </is>
      </c>
      <c r="B43" s="11" t="inlineStr">
        <is>
          <t>PV inverter NB02</t>
        </is>
      </c>
      <c r="C43" s="11" t="inlineStr">
        <is>
          <t>Fault code</t>
        </is>
      </c>
      <c r="D43" s="11" t="inlineStr">
        <is>
          <t>Read</t>
        </is>
      </c>
      <c r="E43" s="11" t="inlineStr">
        <is>
          <t>Status</t>
        </is>
      </c>
      <c r="F43" s="11" t="inlineStr">
        <is>
          <t>-</t>
        </is>
      </c>
      <c r="G43" s="11" t="inlineStr">
        <is>
          <t>PLC box, Modbus TCP</t>
        </is>
      </c>
      <c r="H43" s="11" t="inlineStr">
        <is>
          <t>Status</t>
        </is>
      </c>
      <c r="I43" s="11" t="inlineStr">
        <is>
          <t>-</t>
        </is>
      </c>
      <c r="J43" s="11" t="inlineStr">
        <is>
          <t>-</t>
        </is>
      </c>
      <c r="K43" s="11" t="n"/>
    </row>
    <row r="44">
      <c r="A44" s="11" t="inlineStr">
        <is>
          <t>NB02-ALM-CODE</t>
        </is>
      </c>
      <c r="B44" s="11" t="inlineStr">
        <is>
          <t>PV inverter NB02</t>
        </is>
      </c>
      <c r="C44" s="11" t="inlineStr">
        <is>
          <t>Alarm code</t>
        </is>
      </c>
      <c r="D44" s="11" t="inlineStr">
        <is>
          <t>Read</t>
        </is>
      </c>
      <c r="E44" s="11" t="inlineStr">
        <is>
          <t>Status</t>
        </is>
      </c>
      <c r="F44" s="11" t="inlineStr">
        <is>
          <t>-</t>
        </is>
      </c>
      <c r="G44" s="11" t="inlineStr">
        <is>
          <t>PLC box, Modbus TCP</t>
        </is>
      </c>
      <c r="H44" s="11" t="inlineStr">
        <is>
          <t>Status</t>
        </is>
      </c>
      <c r="I44" s="11" t="inlineStr">
        <is>
          <t>-</t>
        </is>
      </c>
      <c r="J44" s="11" t="inlineStr">
        <is>
          <t>-</t>
        </is>
      </c>
      <c r="K44" s="11" t="n"/>
    </row>
    <row r="45">
      <c r="A45" s="11" t="inlineStr">
        <is>
          <t>NB02-COMM-OK</t>
        </is>
      </c>
      <c r="B45" s="11" t="inlineStr">
        <is>
          <t>PV inverter NB02</t>
        </is>
      </c>
      <c r="C45" s="11" t="inlineStr">
        <is>
          <t>Communication healthy</t>
        </is>
      </c>
      <c r="D45" s="11" t="inlineStr">
        <is>
          <t>Read</t>
        </is>
      </c>
      <c r="E45" s="11" t="inlineStr">
        <is>
          <t>Status</t>
        </is>
      </c>
      <c r="F45" s="11" t="inlineStr">
        <is>
          <t>-</t>
        </is>
      </c>
      <c r="G45" s="11" t="inlineStr">
        <is>
          <t>PLC box, Modbus TCP</t>
        </is>
      </c>
      <c r="H45" s="11" t="inlineStr">
        <is>
          <t>2</t>
        </is>
      </c>
      <c r="I45" s="11" t="inlineStr">
        <is>
          <t>Off</t>
        </is>
      </c>
      <c r="J45" s="11" t="inlineStr">
        <is>
          <t>-</t>
        </is>
      </c>
      <c r="K45" s="11" t="n"/>
    </row>
    <row r="46">
      <c r="A46" s="11" t="inlineStr">
        <is>
          <t>NB02-P-LIM-SP</t>
        </is>
      </c>
      <c r="B46" s="11" t="inlineStr">
        <is>
          <t>PV inverter NB02</t>
        </is>
      </c>
      <c r="C46" s="11" t="inlineStr">
        <is>
          <t>Active power limit</t>
        </is>
      </c>
      <c r="D46" s="11" t="inlineStr">
        <is>
          <t>Write</t>
        </is>
      </c>
      <c r="E46" s="11" t="inlineStr">
        <is>
          <t>Setpoint</t>
        </is>
      </c>
      <c r="F46" s="11" t="inlineStr">
        <is>
          <t>%</t>
        </is>
      </c>
      <c r="G46" s="11" t="inlineStr">
        <is>
          <t>PLC box, Modbus TCP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Admin</t>
        </is>
      </c>
      <c r="K46" s="11" t="inlineStr">
        <is>
          <t>Normally set by the EMS; write only if the EMS allows</t>
        </is>
      </c>
    </row>
    <row r="47">
      <c r="A47" s="11" t="inlineStr">
        <is>
          <t>NB02-START-STOP-CMD</t>
        </is>
      </c>
      <c r="B47" s="11" t="inlineStr">
        <is>
          <t>PV inverter NB02</t>
        </is>
      </c>
      <c r="C47" s="11" t="inlineStr">
        <is>
          <t>Start / stop</t>
        </is>
      </c>
      <c r="D47" s="11" t="inlineStr">
        <is>
          <t>Write</t>
        </is>
      </c>
      <c r="E47" s="11" t="inlineStr">
        <is>
          <t>Command</t>
        </is>
      </c>
      <c r="F47" s="11" t="inlineStr">
        <is>
          <t>-</t>
        </is>
      </c>
      <c r="G47" s="11" t="inlineStr">
        <is>
          <t>PLC box, Modbus TCP</t>
        </is>
      </c>
      <c r="H47" s="11" t="inlineStr">
        <is>
          <t>-</t>
        </is>
      </c>
      <c r="I47" s="11" t="inlineStr">
        <is>
          <t>-</t>
        </is>
      </c>
      <c r="J47" s="11" t="inlineStr">
        <is>
          <t>Admin</t>
        </is>
      </c>
      <c r="K47" s="11" t="n"/>
    </row>
    <row r="48">
      <c r="A48" s="11" t="inlineStr">
        <is>
          <t>NB03-P</t>
        </is>
      </c>
      <c r="B48" s="11" t="inlineStr">
        <is>
          <t>PV inverter NB03</t>
        </is>
      </c>
      <c r="C48" s="11" t="inlineStr">
        <is>
          <t>Active power</t>
        </is>
      </c>
      <c r="D48" s="11" t="inlineStr">
        <is>
          <t>Read</t>
        </is>
      </c>
      <c r="E48" s="11" t="inlineStr">
        <is>
          <t>Measured</t>
        </is>
      </c>
      <c r="F48" s="11" t="inlineStr">
        <is>
          <t>kW</t>
        </is>
      </c>
      <c r="G48" s="11" t="inlineStr">
        <is>
          <t>PLC box, Modbus TCP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n"/>
    </row>
    <row r="49">
      <c r="A49" s="11" t="inlineStr">
        <is>
          <t>NB03-Q</t>
        </is>
      </c>
      <c r="B49" s="11" t="inlineStr">
        <is>
          <t>PV inverter NB03</t>
        </is>
      </c>
      <c r="C49" s="11" t="inlineStr">
        <is>
          <t>Reactive power</t>
        </is>
      </c>
      <c r="D49" s="11" t="inlineStr">
        <is>
          <t>Read</t>
        </is>
      </c>
      <c r="E49" s="11" t="inlineStr">
        <is>
          <t>Measured</t>
        </is>
      </c>
      <c r="F49" s="11" t="inlineStr">
        <is>
          <t>kvar</t>
        </is>
      </c>
      <c r="G49" s="11" t="inlineStr">
        <is>
          <t>PLC box, Modbus TCP</t>
        </is>
      </c>
      <c r="H49" s="11" t="inlineStr">
        <is>
          <t>-</t>
        </is>
      </c>
      <c r="I49" s="11" t="inlineStr">
        <is>
          <t>-</t>
        </is>
      </c>
      <c r="J49" s="11" t="inlineStr">
        <is>
          <t>-</t>
        </is>
      </c>
      <c r="K49" s="11" t="n"/>
    </row>
    <row r="50">
      <c r="A50" s="11" t="inlineStr">
        <is>
          <t>NB03-U-L1</t>
        </is>
      </c>
      <c r="B50" s="11" t="inlineStr">
        <is>
          <t>PV inverter NB03</t>
        </is>
      </c>
      <c r="C50" s="11" t="inlineStr">
        <is>
          <t>AC voltage L1, L2, L3 (3 points)</t>
        </is>
      </c>
      <c r="D50" s="11" t="inlineStr">
        <is>
          <t>Read</t>
        </is>
      </c>
      <c r="E50" s="11" t="inlineStr">
        <is>
          <t>Measured</t>
        </is>
      </c>
      <c r="F50" s="11" t="inlineStr">
        <is>
          <t>V</t>
        </is>
      </c>
      <c r="G50" s="11" t="inlineStr">
        <is>
          <t>PLC box, Modbus TCP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n"/>
    </row>
    <row r="51">
      <c r="A51" s="11" t="inlineStr">
        <is>
          <t>NB03-U-L2</t>
        </is>
      </c>
      <c r="B51" s="11" t="inlineStr">
        <is>
          <t>PV inverter NB03</t>
        </is>
      </c>
      <c r="C51" s="11" t="inlineStr">
        <is>
          <t>AC voltage L1, L2, L3 (3 points)</t>
        </is>
      </c>
      <c r="D51" s="11" t="inlineStr">
        <is>
          <t>Read</t>
        </is>
      </c>
      <c r="E51" s="11" t="inlineStr">
        <is>
          <t>Measured</t>
        </is>
      </c>
      <c r="F51" s="11" t="inlineStr">
        <is>
          <t>V</t>
        </is>
      </c>
      <c r="G51" s="11" t="inlineStr">
        <is>
          <t>PLC box, Modbus TCP</t>
        </is>
      </c>
      <c r="H51" s="11" t="inlineStr">
        <is>
          <t>-</t>
        </is>
      </c>
      <c r="I51" s="11" t="inlineStr">
        <is>
          <t>-</t>
        </is>
      </c>
      <c r="J51" s="11" t="inlineStr">
        <is>
          <t>-</t>
        </is>
      </c>
      <c r="K51" s="11" t="n"/>
    </row>
    <row r="52">
      <c r="A52" s="11" t="inlineStr">
        <is>
          <t>NB03-U-L3</t>
        </is>
      </c>
      <c r="B52" s="11" t="inlineStr">
        <is>
          <t>PV inverter NB03</t>
        </is>
      </c>
      <c r="C52" s="11" t="inlineStr">
        <is>
          <t>AC voltage L1, L2, L3 (3 points)</t>
        </is>
      </c>
      <c r="D52" s="11" t="inlineStr">
        <is>
          <t>Read</t>
        </is>
      </c>
      <c r="E52" s="11" t="inlineStr">
        <is>
          <t>Measured</t>
        </is>
      </c>
      <c r="F52" s="11" t="inlineStr">
        <is>
          <t>V</t>
        </is>
      </c>
      <c r="G52" s="11" t="inlineStr">
        <is>
          <t>PLC box, Modbus TCP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n"/>
    </row>
    <row r="53">
      <c r="A53" s="11" t="inlineStr">
        <is>
          <t>NB03-I-L1</t>
        </is>
      </c>
      <c r="B53" s="11" t="inlineStr">
        <is>
          <t>PV inverter NB03</t>
        </is>
      </c>
      <c r="C53" s="11" t="inlineStr">
        <is>
          <t>AC current L1, L2, L3 (3 points)</t>
        </is>
      </c>
      <c r="D53" s="11" t="inlineStr">
        <is>
          <t>Read</t>
        </is>
      </c>
      <c r="E53" s="11" t="inlineStr">
        <is>
          <t>Measured</t>
        </is>
      </c>
      <c r="F53" s="11" t="inlineStr">
        <is>
          <t>A</t>
        </is>
      </c>
      <c r="G53" s="11" t="inlineStr">
        <is>
          <t>PLC box, Modbus TCP</t>
        </is>
      </c>
      <c r="H53" s="11" t="inlineStr">
        <is>
          <t>-</t>
        </is>
      </c>
      <c r="I53" s="11" t="inlineStr">
        <is>
          <t>-</t>
        </is>
      </c>
      <c r="J53" s="11" t="inlineStr">
        <is>
          <t>-</t>
        </is>
      </c>
      <c r="K53" s="11" t="n"/>
    </row>
    <row r="54">
      <c r="A54" s="11" t="inlineStr">
        <is>
          <t>NB03-I-L2</t>
        </is>
      </c>
      <c r="B54" s="11" t="inlineStr">
        <is>
          <t>PV inverter NB03</t>
        </is>
      </c>
      <c r="C54" s="11" t="inlineStr">
        <is>
          <t>AC current L1, L2, L3 (3 points)</t>
        </is>
      </c>
      <c r="D54" s="11" t="inlineStr">
        <is>
          <t>Read</t>
        </is>
      </c>
      <c r="E54" s="11" t="inlineStr">
        <is>
          <t>Measured</t>
        </is>
      </c>
      <c r="F54" s="11" t="inlineStr">
        <is>
          <t>A</t>
        </is>
      </c>
      <c r="G54" s="11" t="inlineStr">
        <is>
          <t>PLC box, Modbus TCP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n"/>
    </row>
    <row r="55">
      <c r="A55" s="11" t="inlineStr">
        <is>
          <t>NB03-I-L3</t>
        </is>
      </c>
      <c r="B55" s="11" t="inlineStr">
        <is>
          <t>PV inverter NB03</t>
        </is>
      </c>
      <c r="C55" s="11" t="inlineStr">
        <is>
          <t>AC current L1, L2, L3 (3 points)</t>
        </is>
      </c>
      <c r="D55" s="11" t="inlineStr">
        <is>
          <t>Read</t>
        </is>
      </c>
      <c r="E55" s="11" t="inlineStr">
        <is>
          <t>Measured</t>
        </is>
      </c>
      <c r="F55" s="11" t="inlineStr">
        <is>
          <t>A</t>
        </is>
      </c>
      <c r="G55" s="11" t="inlineStr">
        <is>
          <t>PLC box, Modbus TCP</t>
        </is>
      </c>
      <c r="H55" s="11" t="inlineStr">
        <is>
          <t>-</t>
        </is>
      </c>
      <c r="I55" s="11" t="inlineStr">
        <is>
          <t>-</t>
        </is>
      </c>
      <c r="J55" s="11" t="inlineStr">
        <is>
          <t>-</t>
        </is>
      </c>
      <c r="K55" s="11" t="n"/>
    </row>
    <row r="56">
      <c r="A56" s="11" t="inlineStr">
        <is>
          <t>NB03-F</t>
        </is>
      </c>
      <c r="B56" s="11" t="inlineStr">
        <is>
          <t>PV inverter NB03</t>
        </is>
      </c>
      <c r="C56" s="11" t="inlineStr">
        <is>
          <t>Frequency</t>
        </is>
      </c>
      <c r="D56" s="11" t="inlineStr">
        <is>
          <t>Read</t>
        </is>
      </c>
      <c r="E56" s="11" t="inlineStr">
        <is>
          <t>Measured</t>
        </is>
      </c>
      <c r="F56" s="11" t="inlineStr">
        <is>
          <t>Hz</t>
        </is>
      </c>
      <c r="G56" s="11" t="inlineStr">
        <is>
          <t>PLC box, Modbus TCP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n"/>
    </row>
    <row r="57">
      <c r="A57" s="11" t="inlineStr">
        <is>
          <t>NB03-PF</t>
        </is>
      </c>
      <c r="B57" s="11" t="inlineStr">
        <is>
          <t>PV inverter NB03</t>
        </is>
      </c>
      <c r="C57" s="11" t="inlineStr">
        <is>
          <t>Power factor</t>
        </is>
      </c>
      <c r="D57" s="11" t="inlineStr">
        <is>
          <t>Read</t>
        </is>
      </c>
      <c r="E57" s="11" t="inlineStr">
        <is>
          <t>Measured</t>
        </is>
      </c>
      <c r="F57" s="11" t="inlineStr">
        <is>
          <t>-</t>
        </is>
      </c>
      <c r="G57" s="11" t="inlineStr">
        <is>
          <t>PLC box, Modbus TCP</t>
        </is>
      </c>
      <c r="H57" s="11" t="inlineStr">
        <is>
          <t>-</t>
        </is>
      </c>
      <c r="I57" s="11" t="inlineStr">
        <is>
          <t>-</t>
        </is>
      </c>
      <c r="J57" s="11" t="inlineStr">
        <is>
          <t>-</t>
        </is>
      </c>
      <c r="K57" s="11" t="n"/>
    </row>
    <row r="58">
      <c r="A58" s="11" t="inlineStr">
        <is>
          <t>NB03-U-DC</t>
        </is>
      </c>
      <c r="B58" s="11" t="inlineStr">
        <is>
          <t>PV inverter NB03</t>
        </is>
      </c>
      <c r="C58" s="11" t="inlineStr">
        <is>
          <t>DC voltage</t>
        </is>
      </c>
      <c r="D58" s="11" t="inlineStr">
        <is>
          <t>Read</t>
        </is>
      </c>
      <c r="E58" s="11" t="inlineStr">
        <is>
          <t>Measured</t>
        </is>
      </c>
      <c r="F58" s="11" t="inlineStr">
        <is>
          <t>V</t>
        </is>
      </c>
      <c r="G58" s="11" t="inlineStr">
        <is>
          <t>PLC box, Modbus TCP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n"/>
    </row>
    <row r="59">
      <c r="A59" s="11" t="inlineStr">
        <is>
          <t>NB03-I-DC</t>
        </is>
      </c>
      <c r="B59" s="11" t="inlineStr">
        <is>
          <t>PV inverter NB03</t>
        </is>
      </c>
      <c r="C59" s="11" t="inlineStr">
        <is>
          <t>DC current</t>
        </is>
      </c>
      <c r="D59" s="11" t="inlineStr">
        <is>
          <t>Read</t>
        </is>
      </c>
      <c r="E59" s="11" t="inlineStr">
        <is>
          <t>Measured</t>
        </is>
      </c>
      <c r="F59" s="11" t="inlineStr">
        <is>
          <t>A</t>
        </is>
      </c>
      <c r="G59" s="11" t="inlineStr">
        <is>
          <t>PLC box, Modbus TCP</t>
        </is>
      </c>
      <c r="H59" s="11" t="inlineStr">
        <is>
          <t>-</t>
        </is>
      </c>
      <c r="I59" s="11" t="inlineStr">
        <is>
          <t>-</t>
        </is>
      </c>
      <c r="J59" s="11" t="inlineStr">
        <is>
          <t>-</t>
        </is>
      </c>
      <c r="K59" s="11" t="n"/>
    </row>
    <row r="60">
      <c r="A60" s="11" t="inlineStr">
        <is>
          <t>NB03-P-DC</t>
        </is>
      </c>
      <c r="B60" s="11" t="inlineStr">
        <is>
          <t>PV inverter NB03</t>
        </is>
      </c>
      <c r="C60" s="11" t="inlineStr">
        <is>
          <t>DC power</t>
        </is>
      </c>
      <c r="D60" s="11" t="inlineStr">
        <is>
          <t>Read</t>
        </is>
      </c>
      <c r="E60" s="11" t="inlineStr">
        <is>
          <t>Measured</t>
        </is>
      </c>
      <c r="F60" s="11" t="inlineStr">
        <is>
          <t>kW</t>
        </is>
      </c>
      <c r="G60" s="11" t="inlineStr">
        <is>
          <t>PLC box, Modbus TCP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n"/>
    </row>
    <row r="61">
      <c r="A61" s="11" t="inlineStr">
        <is>
          <t>NB03-E-DAY</t>
        </is>
      </c>
      <c r="B61" s="11" t="inlineStr">
        <is>
          <t>PV inverter NB03</t>
        </is>
      </c>
      <c r="C61" s="11" t="inlineStr">
        <is>
          <t>Energy today</t>
        </is>
      </c>
      <c r="D61" s="11" t="inlineStr">
        <is>
          <t>Read</t>
        </is>
      </c>
      <c r="E61" s="11" t="inlineStr">
        <is>
          <t>Counter</t>
        </is>
      </c>
      <c r="F61" s="11" t="inlineStr">
        <is>
          <t>kWh</t>
        </is>
      </c>
      <c r="G61" s="11" t="inlineStr">
        <is>
          <t>PLC box, Modbus TCP</t>
        </is>
      </c>
      <c r="H61" s="11" t="inlineStr">
        <is>
          <t>-</t>
        </is>
      </c>
      <c r="I61" s="11" t="inlineStr">
        <is>
          <t>-</t>
        </is>
      </c>
      <c r="J61" s="11" t="inlineStr">
        <is>
          <t>-</t>
        </is>
      </c>
      <c r="K61" s="11" t="n"/>
    </row>
    <row r="62">
      <c r="A62" s="11" t="inlineStr">
        <is>
          <t>NB03-E-TOT</t>
        </is>
      </c>
      <c r="B62" s="11" t="inlineStr">
        <is>
          <t>PV inverter NB03</t>
        </is>
      </c>
      <c r="C62" s="11" t="inlineStr">
        <is>
          <t>Energy total</t>
        </is>
      </c>
      <c r="D62" s="11" t="inlineStr">
        <is>
          <t>Read</t>
        </is>
      </c>
      <c r="E62" s="11" t="inlineStr">
        <is>
          <t>Counter</t>
        </is>
      </c>
      <c r="F62" s="11" t="inlineStr">
        <is>
          <t>MWh</t>
        </is>
      </c>
      <c r="G62" s="11" t="inlineStr">
        <is>
          <t>PLC box, Modbus TCP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n"/>
    </row>
    <row r="63">
      <c r="A63" s="11" t="inlineStr">
        <is>
          <t>NB03-T-INT</t>
        </is>
      </c>
      <c r="B63" s="11" t="inlineStr">
        <is>
          <t>PV inverter NB03</t>
        </is>
      </c>
      <c r="C63" s="11" t="inlineStr">
        <is>
          <t>Internal temperature</t>
        </is>
      </c>
      <c r="D63" s="11" t="inlineStr">
        <is>
          <t>Read</t>
        </is>
      </c>
      <c r="E63" s="11" t="inlineStr">
        <is>
          <t>Measured</t>
        </is>
      </c>
      <c r="F63" s="11" t="inlineStr">
        <is>
          <t>deg C</t>
        </is>
      </c>
      <c r="G63" s="11" t="inlineStr">
        <is>
          <t>PLC box, Modbus TCP</t>
        </is>
      </c>
      <c r="H63" s="11" t="inlineStr">
        <is>
          <t>-</t>
        </is>
      </c>
      <c r="I63" s="11" t="inlineStr">
        <is>
          <t>-</t>
        </is>
      </c>
      <c r="J63" s="11" t="inlineStr">
        <is>
          <t>-</t>
        </is>
      </c>
      <c r="K63" s="11" t="n"/>
    </row>
    <row r="64">
      <c r="A64" s="11" t="inlineStr">
        <is>
          <t>NB03-R-ISO</t>
        </is>
      </c>
      <c r="B64" s="11" t="inlineStr">
        <is>
          <t>PV inverter NB03</t>
        </is>
      </c>
      <c r="C64" s="11" t="inlineStr">
        <is>
          <t>Insulation resistance</t>
        </is>
      </c>
      <c r="D64" s="11" t="inlineStr">
        <is>
          <t>Read</t>
        </is>
      </c>
      <c r="E64" s="11" t="inlineStr">
        <is>
          <t>Measured</t>
        </is>
      </c>
      <c r="F64" s="11" t="inlineStr">
        <is>
          <t>kohm</t>
        </is>
      </c>
      <c r="G64" s="11" t="inlineStr">
        <is>
          <t>PLC box, Modbus TCP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n"/>
    </row>
    <row r="65">
      <c r="A65" s="11" t="inlineStr">
        <is>
          <t>NB03-STATE</t>
        </is>
      </c>
      <c r="B65" s="11" t="inlineStr">
        <is>
          <t>PV inverter NB03</t>
        </is>
      </c>
      <c r="C65" s="11" t="inlineStr">
        <is>
          <t>Operating state</t>
        </is>
      </c>
      <c r="D65" s="11" t="inlineStr">
        <is>
          <t>Read</t>
        </is>
      </c>
      <c r="E65" s="11" t="inlineStr">
        <is>
          <t>Status</t>
        </is>
      </c>
      <c r="F65" s="11" t="inlineStr">
        <is>
          <t>-</t>
        </is>
      </c>
      <c r="G65" s="11" t="inlineStr">
        <is>
          <t>PLC box, Modbus TCP</t>
        </is>
      </c>
      <c r="H65" s="11" t="inlineStr">
        <is>
          <t>Status</t>
        </is>
      </c>
      <c r="I65" s="11" t="inlineStr">
        <is>
          <t>-</t>
        </is>
      </c>
      <c r="J65" s="11" t="inlineStr">
        <is>
          <t>-</t>
        </is>
      </c>
      <c r="K65" s="11" t="n"/>
    </row>
    <row r="66">
      <c r="A66" s="11" t="inlineStr">
        <is>
          <t>NB03-FLT-CODE</t>
        </is>
      </c>
      <c r="B66" s="11" t="inlineStr">
        <is>
          <t>PV inverter NB03</t>
        </is>
      </c>
      <c r="C66" s="11" t="inlineStr">
        <is>
          <t>Fault code</t>
        </is>
      </c>
      <c r="D66" s="11" t="inlineStr">
        <is>
          <t>Read</t>
        </is>
      </c>
      <c r="E66" s="11" t="inlineStr">
        <is>
          <t>Status</t>
        </is>
      </c>
      <c r="F66" s="11" t="inlineStr">
        <is>
          <t>-</t>
        </is>
      </c>
      <c r="G66" s="11" t="inlineStr">
        <is>
          <t>PLC box, Modbus TCP</t>
        </is>
      </c>
      <c r="H66" s="11" t="inlineStr">
        <is>
          <t>Status</t>
        </is>
      </c>
      <c r="I66" s="11" t="inlineStr">
        <is>
          <t>-</t>
        </is>
      </c>
      <c r="J66" s="11" t="inlineStr">
        <is>
          <t>-</t>
        </is>
      </c>
      <c r="K66" s="11" t="n"/>
    </row>
    <row r="67">
      <c r="A67" s="11" t="inlineStr">
        <is>
          <t>NB03-ALM-CODE</t>
        </is>
      </c>
      <c r="B67" s="11" t="inlineStr">
        <is>
          <t>PV inverter NB03</t>
        </is>
      </c>
      <c r="C67" s="11" t="inlineStr">
        <is>
          <t>Alarm code</t>
        </is>
      </c>
      <c r="D67" s="11" t="inlineStr">
        <is>
          <t>Read</t>
        </is>
      </c>
      <c r="E67" s="11" t="inlineStr">
        <is>
          <t>Status</t>
        </is>
      </c>
      <c r="F67" s="11" t="inlineStr">
        <is>
          <t>-</t>
        </is>
      </c>
      <c r="G67" s="11" t="inlineStr">
        <is>
          <t>PLC box, Modbus TCP</t>
        </is>
      </c>
      <c r="H67" s="11" t="inlineStr">
        <is>
          <t>Status</t>
        </is>
      </c>
      <c r="I67" s="11" t="inlineStr">
        <is>
          <t>-</t>
        </is>
      </c>
      <c r="J67" s="11" t="inlineStr">
        <is>
          <t>-</t>
        </is>
      </c>
      <c r="K67" s="11" t="n"/>
    </row>
    <row r="68">
      <c r="A68" s="11" t="inlineStr">
        <is>
          <t>NB03-COMM-OK</t>
        </is>
      </c>
      <c r="B68" s="11" t="inlineStr">
        <is>
          <t>PV inverter NB03</t>
        </is>
      </c>
      <c r="C68" s="11" t="inlineStr">
        <is>
          <t>Communication healthy</t>
        </is>
      </c>
      <c r="D68" s="11" t="inlineStr">
        <is>
          <t>Read</t>
        </is>
      </c>
      <c r="E68" s="11" t="inlineStr">
        <is>
          <t>Status</t>
        </is>
      </c>
      <c r="F68" s="11" t="inlineStr">
        <is>
          <t>-</t>
        </is>
      </c>
      <c r="G68" s="11" t="inlineStr">
        <is>
          <t>PLC box, Modbus TCP</t>
        </is>
      </c>
      <c r="H68" s="11" t="inlineStr">
        <is>
          <t>2</t>
        </is>
      </c>
      <c r="I68" s="11" t="inlineStr">
        <is>
          <t>Off</t>
        </is>
      </c>
      <c r="J68" s="11" t="inlineStr">
        <is>
          <t>-</t>
        </is>
      </c>
      <c r="K68" s="11" t="n"/>
    </row>
    <row r="69">
      <c r="A69" s="11" t="inlineStr">
        <is>
          <t>NB03-P-LIM-SP</t>
        </is>
      </c>
      <c r="B69" s="11" t="inlineStr">
        <is>
          <t>PV inverter NB03</t>
        </is>
      </c>
      <c r="C69" s="11" t="inlineStr">
        <is>
          <t>Active power limit</t>
        </is>
      </c>
      <c r="D69" s="11" t="inlineStr">
        <is>
          <t>Write</t>
        </is>
      </c>
      <c r="E69" s="11" t="inlineStr">
        <is>
          <t>Setpoint</t>
        </is>
      </c>
      <c r="F69" s="11" t="inlineStr">
        <is>
          <t>%</t>
        </is>
      </c>
      <c r="G69" s="11" t="inlineStr">
        <is>
          <t>PLC box, Modbus TCP</t>
        </is>
      </c>
      <c r="H69" s="11" t="inlineStr">
        <is>
          <t>-</t>
        </is>
      </c>
      <c r="I69" s="11" t="inlineStr">
        <is>
          <t>-</t>
        </is>
      </c>
      <c r="J69" s="11" t="inlineStr">
        <is>
          <t>Admin</t>
        </is>
      </c>
      <c r="K69" s="11" t="inlineStr">
        <is>
          <t>Normally set by the EMS; write only if the EMS allows</t>
        </is>
      </c>
    </row>
    <row r="70">
      <c r="A70" s="11" t="inlineStr">
        <is>
          <t>NB03-START-STOP-CMD</t>
        </is>
      </c>
      <c r="B70" s="11" t="inlineStr">
        <is>
          <t>PV inverter NB03</t>
        </is>
      </c>
      <c r="C70" s="11" t="inlineStr">
        <is>
          <t>Start / stop</t>
        </is>
      </c>
      <c r="D70" s="11" t="inlineStr">
        <is>
          <t>Write</t>
        </is>
      </c>
      <c r="E70" s="11" t="inlineStr">
        <is>
          <t>Command</t>
        </is>
      </c>
      <c r="F70" s="11" t="inlineStr">
        <is>
          <t>-</t>
        </is>
      </c>
      <c r="G70" s="11" t="inlineStr">
        <is>
          <t>PLC box, Modbus TCP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Admin</t>
        </is>
      </c>
      <c r="K70" s="11" t="n"/>
    </row>
    <row r="71">
      <c r="A71" s="11" t="inlineStr">
        <is>
          <t>NB04-P</t>
        </is>
      </c>
      <c r="B71" s="11" t="inlineStr">
        <is>
          <t>PV inverter NB04</t>
        </is>
      </c>
      <c r="C71" s="11" t="inlineStr">
        <is>
          <t>Active power</t>
        </is>
      </c>
      <c r="D71" s="11" t="inlineStr">
        <is>
          <t>Read</t>
        </is>
      </c>
      <c r="E71" s="11" t="inlineStr">
        <is>
          <t>Measured</t>
        </is>
      </c>
      <c r="F71" s="11" t="inlineStr">
        <is>
          <t>kW</t>
        </is>
      </c>
      <c r="G71" s="11" t="inlineStr">
        <is>
          <t>PLC box, Modbus TCP</t>
        </is>
      </c>
      <c r="H71" s="11" t="inlineStr">
        <is>
          <t>-</t>
        </is>
      </c>
      <c r="I71" s="11" t="inlineStr">
        <is>
          <t>-</t>
        </is>
      </c>
      <c r="J71" s="11" t="inlineStr">
        <is>
          <t>-</t>
        </is>
      </c>
      <c r="K71" s="11" t="n"/>
    </row>
    <row r="72">
      <c r="A72" s="11" t="inlineStr">
        <is>
          <t>NB04-Q</t>
        </is>
      </c>
      <c r="B72" s="11" t="inlineStr">
        <is>
          <t>PV inverter NB04</t>
        </is>
      </c>
      <c r="C72" s="11" t="inlineStr">
        <is>
          <t>Reactive power</t>
        </is>
      </c>
      <c r="D72" s="11" t="inlineStr">
        <is>
          <t>Read</t>
        </is>
      </c>
      <c r="E72" s="11" t="inlineStr">
        <is>
          <t>Measured</t>
        </is>
      </c>
      <c r="F72" s="11" t="inlineStr">
        <is>
          <t>kvar</t>
        </is>
      </c>
      <c r="G72" s="11" t="inlineStr">
        <is>
          <t>PLC box, Modbus TCP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n"/>
    </row>
    <row r="73">
      <c r="A73" s="11" t="inlineStr">
        <is>
          <t>NB04-U-L1</t>
        </is>
      </c>
      <c r="B73" s="11" t="inlineStr">
        <is>
          <t>PV inverter NB04</t>
        </is>
      </c>
      <c r="C73" s="11" t="inlineStr">
        <is>
          <t>AC voltage L1, L2, L3 (3 points)</t>
        </is>
      </c>
      <c r="D73" s="11" t="inlineStr">
        <is>
          <t>Read</t>
        </is>
      </c>
      <c r="E73" s="11" t="inlineStr">
        <is>
          <t>Measured</t>
        </is>
      </c>
      <c r="F73" s="11" t="inlineStr">
        <is>
          <t>V</t>
        </is>
      </c>
      <c r="G73" s="11" t="inlineStr">
        <is>
          <t>PLC box, Modbus TCP</t>
        </is>
      </c>
      <c r="H73" s="11" t="inlineStr">
        <is>
          <t>-</t>
        </is>
      </c>
      <c r="I73" s="11" t="inlineStr">
        <is>
          <t>-</t>
        </is>
      </c>
      <c r="J73" s="11" t="inlineStr">
        <is>
          <t>-</t>
        </is>
      </c>
      <c r="K73" s="11" t="n"/>
    </row>
    <row r="74">
      <c r="A74" s="11" t="inlineStr">
        <is>
          <t>NB04-U-L2</t>
        </is>
      </c>
      <c r="B74" s="11" t="inlineStr">
        <is>
          <t>PV inverter NB04</t>
        </is>
      </c>
      <c r="C74" s="11" t="inlineStr">
        <is>
          <t>AC voltage L1, L2, L3 (3 points)</t>
        </is>
      </c>
      <c r="D74" s="11" t="inlineStr">
        <is>
          <t>Read</t>
        </is>
      </c>
      <c r="E74" s="11" t="inlineStr">
        <is>
          <t>Measured</t>
        </is>
      </c>
      <c r="F74" s="11" t="inlineStr">
        <is>
          <t>V</t>
        </is>
      </c>
      <c r="G74" s="11" t="inlineStr">
        <is>
          <t>PLC box, Modbus TCP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n"/>
    </row>
    <row r="75">
      <c r="A75" s="11" t="inlineStr">
        <is>
          <t>NB04-U-L3</t>
        </is>
      </c>
      <c r="B75" s="11" t="inlineStr">
        <is>
          <t>PV inverter NB04</t>
        </is>
      </c>
      <c r="C75" s="11" t="inlineStr">
        <is>
          <t>AC voltage L1, L2, L3 (3 points)</t>
        </is>
      </c>
      <c r="D75" s="11" t="inlineStr">
        <is>
          <t>Read</t>
        </is>
      </c>
      <c r="E75" s="11" t="inlineStr">
        <is>
          <t>Measured</t>
        </is>
      </c>
      <c r="F75" s="11" t="inlineStr">
        <is>
          <t>V</t>
        </is>
      </c>
      <c r="G75" s="11" t="inlineStr">
        <is>
          <t>PLC box, Modbus TCP</t>
        </is>
      </c>
      <c r="H75" s="11" t="inlineStr">
        <is>
          <t>-</t>
        </is>
      </c>
      <c r="I75" s="11" t="inlineStr">
        <is>
          <t>-</t>
        </is>
      </c>
      <c r="J75" s="11" t="inlineStr">
        <is>
          <t>-</t>
        </is>
      </c>
      <c r="K75" s="11" t="n"/>
    </row>
    <row r="76">
      <c r="A76" s="11" t="inlineStr">
        <is>
          <t>NB04-I-L1</t>
        </is>
      </c>
      <c r="B76" s="11" t="inlineStr">
        <is>
          <t>PV inverter NB04</t>
        </is>
      </c>
      <c r="C76" s="11" t="inlineStr">
        <is>
          <t>AC current L1, L2, L3 (3 points)</t>
        </is>
      </c>
      <c r="D76" s="11" t="inlineStr">
        <is>
          <t>Read</t>
        </is>
      </c>
      <c r="E76" s="11" t="inlineStr">
        <is>
          <t>Measured</t>
        </is>
      </c>
      <c r="F76" s="11" t="inlineStr">
        <is>
          <t>A</t>
        </is>
      </c>
      <c r="G76" s="11" t="inlineStr">
        <is>
          <t>PLC box, Modbus TCP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n"/>
    </row>
    <row r="77">
      <c r="A77" s="11" t="inlineStr">
        <is>
          <t>NB04-I-L2</t>
        </is>
      </c>
      <c r="B77" s="11" t="inlineStr">
        <is>
          <t>PV inverter NB04</t>
        </is>
      </c>
      <c r="C77" s="11" t="inlineStr">
        <is>
          <t>AC current L1, L2, L3 (3 points)</t>
        </is>
      </c>
      <c r="D77" s="11" t="inlineStr">
        <is>
          <t>Read</t>
        </is>
      </c>
      <c r="E77" s="11" t="inlineStr">
        <is>
          <t>Measured</t>
        </is>
      </c>
      <c r="F77" s="11" t="inlineStr">
        <is>
          <t>A</t>
        </is>
      </c>
      <c r="G77" s="11" t="inlineStr">
        <is>
          <t>PLC box, Modbus TCP</t>
        </is>
      </c>
      <c r="H77" s="11" t="inlineStr">
        <is>
          <t>-</t>
        </is>
      </c>
      <c r="I77" s="11" t="inlineStr">
        <is>
          <t>-</t>
        </is>
      </c>
      <c r="J77" s="11" t="inlineStr">
        <is>
          <t>-</t>
        </is>
      </c>
      <c r="K77" s="11" t="n"/>
    </row>
    <row r="78">
      <c r="A78" s="11" t="inlineStr">
        <is>
          <t>NB04-I-L3</t>
        </is>
      </c>
      <c r="B78" s="11" t="inlineStr">
        <is>
          <t>PV inverter NB04</t>
        </is>
      </c>
      <c r="C78" s="11" t="inlineStr">
        <is>
          <t>AC current L1, L2, L3 (3 points)</t>
        </is>
      </c>
      <c r="D78" s="11" t="inlineStr">
        <is>
          <t>Read</t>
        </is>
      </c>
      <c r="E78" s="11" t="inlineStr">
        <is>
          <t>Measured</t>
        </is>
      </c>
      <c r="F78" s="11" t="inlineStr">
        <is>
          <t>A</t>
        </is>
      </c>
      <c r="G78" s="11" t="inlineStr">
        <is>
          <t>PLC box, Modbus TCP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  <c r="K78" s="11" t="n"/>
    </row>
    <row r="79">
      <c r="A79" s="11" t="inlineStr">
        <is>
          <t>NB04-F</t>
        </is>
      </c>
      <c r="B79" s="11" t="inlineStr">
        <is>
          <t>PV inverter NB04</t>
        </is>
      </c>
      <c r="C79" s="11" t="inlineStr">
        <is>
          <t>Frequency</t>
        </is>
      </c>
      <c r="D79" s="11" t="inlineStr">
        <is>
          <t>Read</t>
        </is>
      </c>
      <c r="E79" s="11" t="inlineStr">
        <is>
          <t>Measured</t>
        </is>
      </c>
      <c r="F79" s="11" t="inlineStr">
        <is>
          <t>Hz</t>
        </is>
      </c>
      <c r="G79" s="11" t="inlineStr">
        <is>
          <t>PLC box, Modbus TCP</t>
        </is>
      </c>
      <c r="H79" s="11" t="inlineStr">
        <is>
          <t>-</t>
        </is>
      </c>
      <c r="I79" s="11" t="inlineStr">
        <is>
          <t>-</t>
        </is>
      </c>
      <c r="J79" s="11" t="inlineStr">
        <is>
          <t>-</t>
        </is>
      </c>
      <c r="K79" s="11" t="n"/>
    </row>
    <row r="80">
      <c r="A80" s="11" t="inlineStr">
        <is>
          <t>NB04-PF</t>
        </is>
      </c>
      <c r="B80" s="11" t="inlineStr">
        <is>
          <t>PV inverter NB04</t>
        </is>
      </c>
      <c r="C80" s="11" t="inlineStr">
        <is>
          <t>Power factor</t>
        </is>
      </c>
      <c r="D80" s="11" t="inlineStr">
        <is>
          <t>Read</t>
        </is>
      </c>
      <c r="E80" s="11" t="inlineStr">
        <is>
          <t>Measured</t>
        </is>
      </c>
      <c r="F80" s="11" t="inlineStr">
        <is>
          <t>-</t>
        </is>
      </c>
      <c r="G80" s="11" t="inlineStr">
        <is>
          <t>PLC box, Modbus TCP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n"/>
    </row>
    <row r="81">
      <c r="A81" s="11" t="inlineStr">
        <is>
          <t>NB04-U-DC</t>
        </is>
      </c>
      <c r="B81" s="11" t="inlineStr">
        <is>
          <t>PV inverter NB04</t>
        </is>
      </c>
      <c r="C81" s="11" t="inlineStr">
        <is>
          <t>DC voltage</t>
        </is>
      </c>
      <c r="D81" s="11" t="inlineStr">
        <is>
          <t>Read</t>
        </is>
      </c>
      <c r="E81" s="11" t="inlineStr">
        <is>
          <t>Measured</t>
        </is>
      </c>
      <c r="F81" s="11" t="inlineStr">
        <is>
          <t>V</t>
        </is>
      </c>
      <c r="G81" s="11" t="inlineStr">
        <is>
          <t>PLC box, Modbus TCP</t>
        </is>
      </c>
      <c r="H81" s="11" t="inlineStr">
        <is>
          <t>-</t>
        </is>
      </c>
      <c r="I81" s="11" t="inlineStr">
        <is>
          <t>-</t>
        </is>
      </c>
      <c r="J81" s="11" t="inlineStr">
        <is>
          <t>-</t>
        </is>
      </c>
      <c r="K81" s="11" t="n"/>
    </row>
    <row r="82">
      <c r="A82" s="11" t="inlineStr">
        <is>
          <t>NB04-I-DC</t>
        </is>
      </c>
      <c r="B82" s="11" t="inlineStr">
        <is>
          <t>PV inverter NB04</t>
        </is>
      </c>
      <c r="C82" s="11" t="inlineStr">
        <is>
          <t>DC current</t>
        </is>
      </c>
      <c r="D82" s="11" t="inlineStr">
        <is>
          <t>Read</t>
        </is>
      </c>
      <c r="E82" s="11" t="inlineStr">
        <is>
          <t>Measured</t>
        </is>
      </c>
      <c r="F82" s="11" t="inlineStr">
        <is>
          <t>A</t>
        </is>
      </c>
      <c r="G82" s="11" t="inlineStr">
        <is>
          <t>PLC box, Modbus TCP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n"/>
    </row>
    <row r="83">
      <c r="A83" s="11" t="inlineStr">
        <is>
          <t>NB04-P-DC</t>
        </is>
      </c>
      <c r="B83" s="11" t="inlineStr">
        <is>
          <t>PV inverter NB04</t>
        </is>
      </c>
      <c r="C83" s="11" t="inlineStr">
        <is>
          <t>DC power</t>
        </is>
      </c>
      <c r="D83" s="11" t="inlineStr">
        <is>
          <t>Read</t>
        </is>
      </c>
      <c r="E83" s="11" t="inlineStr">
        <is>
          <t>Measured</t>
        </is>
      </c>
      <c r="F83" s="11" t="inlineStr">
        <is>
          <t>kW</t>
        </is>
      </c>
      <c r="G83" s="11" t="inlineStr">
        <is>
          <t>PLC box, Modbus TCP</t>
        </is>
      </c>
      <c r="H83" s="11" t="inlineStr">
        <is>
          <t>-</t>
        </is>
      </c>
      <c r="I83" s="11" t="inlineStr">
        <is>
          <t>-</t>
        </is>
      </c>
      <c r="J83" s="11" t="inlineStr">
        <is>
          <t>-</t>
        </is>
      </c>
      <c r="K83" s="11" t="n"/>
    </row>
    <row r="84">
      <c r="A84" s="11" t="inlineStr">
        <is>
          <t>NB04-E-DAY</t>
        </is>
      </c>
      <c r="B84" s="11" t="inlineStr">
        <is>
          <t>PV inverter NB04</t>
        </is>
      </c>
      <c r="C84" s="11" t="inlineStr">
        <is>
          <t>Energy today</t>
        </is>
      </c>
      <c r="D84" s="11" t="inlineStr">
        <is>
          <t>Read</t>
        </is>
      </c>
      <c r="E84" s="11" t="inlineStr">
        <is>
          <t>Counter</t>
        </is>
      </c>
      <c r="F84" s="11" t="inlineStr">
        <is>
          <t>kWh</t>
        </is>
      </c>
      <c r="G84" s="11" t="inlineStr">
        <is>
          <t>PLC box, Modbus TCP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n"/>
    </row>
    <row r="85">
      <c r="A85" s="11" t="inlineStr">
        <is>
          <t>NB04-E-TOT</t>
        </is>
      </c>
      <c r="B85" s="11" t="inlineStr">
        <is>
          <t>PV inverter NB04</t>
        </is>
      </c>
      <c r="C85" s="11" t="inlineStr">
        <is>
          <t>Energy total</t>
        </is>
      </c>
      <c r="D85" s="11" t="inlineStr">
        <is>
          <t>Read</t>
        </is>
      </c>
      <c r="E85" s="11" t="inlineStr">
        <is>
          <t>Counter</t>
        </is>
      </c>
      <c r="F85" s="11" t="inlineStr">
        <is>
          <t>MWh</t>
        </is>
      </c>
      <c r="G85" s="11" t="inlineStr">
        <is>
          <t>PLC box, Modbus TCP</t>
        </is>
      </c>
      <c r="H85" s="11" t="inlineStr">
        <is>
          <t>-</t>
        </is>
      </c>
      <c r="I85" s="11" t="inlineStr">
        <is>
          <t>-</t>
        </is>
      </c>
      <c r="J85" s="11" t="inlineStr">
        <is>
          <t>-</t>
        </is>
      </c>
      <c r="K85" s="11" t="n"/>
    </row>
    <row r="86">
      <c r="A86" s="11" t="inlineStr">
        <is>
          <t>NB04-T-INT</t>
        </is>
      </c>
      <c r="B86" s="11" t="inlineStr">
        <is>
          <t>PV inverter NB04</t>
        </is>
      </c>
      <c r="C86" s="11" t="inlineStr">
        <is>
          <t>Internal temperature</t>
        </is>
      </c>
      <c r="D86" s="11" t="inlineStr">
        <is>
          <t>Read</t>
        </is>
      </c>
      <c r="E86" s="11" t="inlineStr">
        <is>
          <t>Measured</t>
        </is>
      </c>
      <c r="F86" s="11" t="inlineStr">
        <is>
          <t>deg C</t>
        </is>
      </c>
      <c r="G86" s="11" t="inlineStr">
        <is>
          <t>PLC box, Modbus TCP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n"/>
    </row>
    <row r="87">
      <c r="A87" s="11" t="inlineStr">
        <is>
          <t>NB04-R-ISO</t>
        </is>
      </c>
      <c r="B87" s="11" t="inlineStr">
        <is>
          <t>PV inverter NB04</t>
        </is>
      </c>
      <c r="C87" s="11" t="inlineStr">
        <is>
          <t>Insulation resistance</t>
        </is>
      </c>
      <c r="D87" s="11" t="inlineStr">
        <is>
          <t>Read</t>
        </is>
      </c>
      <c r="E87" s="11" t="inlineStr">
        <is>
          <t>Measured</t>
        </is>
      </c>
      <c r="F87" s="11" t="inlineStr">
        <is>
          <t>kohm</t>
        </is>
      </c>
      <c r="G87" s="11" t="inlineStr">
        <is>
          <t>PLC box, Modbus TCP</t>
        </is>
      </c>
      <c r="H87" s="11" t="inlineStr">
        <is>
          <t>-</t>
        </is>
      </c>
      <c r="I87" s="11" t="inlineStr">
        <is>
          <t>-</t>
        </is>
      </c>
      <c r="J87" s="11" t="inlineStr">
        <is>
          <t>-</t>
        </is>
      </c>
      <c r="K87" s="11" t="n"/>
    </row>
    <row r="88">
      <c r="A88" s="11" t="inlineStr">
        <is>
          <t>NB04-STATE</t>
        </is>
      </c>
      <c r="B88" s="11" t="inlineStr">
        <is>
          <t>PV inverter NB04</t>
        </is>
      </c>
      <c r="C88" s="11" t="inlineStr">
        <is>
          <t>Operating state</t>
        </is>
      </c>
      <c r="D88" s="11" t="inlineStr">
        <is>
          <t>Read</t>
        </is>
      </c>
      <c r="E88" s="11" t="inlineStr">
        <is>
          <t>Status</t>
        </is>
      </c>
      <c r="F88" s="11" t="inlineStr">
        <is>
          <t>-</t>
        </is>
      </c>
      <c r="G88" s="11" t="inlineStr">
        <is>
          <t>PLC box, Modbus TCP</t>
        </is>
      </c>
      <c r="H88" s="11" t="inlineStr">
        <is>
          <t>Status</t>
        </is>
      </c>
      <c r="I88" s="11" t="inlineStr">
        <is>
          <t>-</t>
        </is>
      </c>
      <c r="J88" s="11" t="inlineStr">
        <is>
          <t>-</t>
        </is>
      </c>
      <c r="K88" s="11" t="n"/>
    </row>
    <row r="89">
      <c r="A89" s="11" t="inlineStr">
        <is>
          <t>NB04-FLT-CODE</t>
        </is>
      </c>
      <c r="B89" s="11" t="inlineStr">
        <is>
          <t>PV inverter NB04</t>
        </is>
      </c>
      <c r="C89" s="11" t="inlineStr">
        <is>
          <t>Fault code</t>
        </is>
      </c>
      <c r="D89" s="11" t="inlineStr">
        <is>
          <t>Read</t>
        </is>
      </c>
      <c r="E89" s="11" t="inlineStr">
        <is>
          <t>Status</t>
        </is>
      </c>
      <c r="F89" s="11" t="inlineStr">
        <is>
          <t>-</t>
        </is>
      </c>
      <c r="G89" s="11" t="inlineStr">
        <is>
          <t>PLC box, Modbus TCP</t>
        </is>
      </c>
      <c r="H89" s="11" t="inlineStr">
        <is>
          <t>Status</t>
        </is>
      </c>
      <c r="I89" s="11" t="inlineStr">
        <is>
          <t>-</t>
        </is>
      </c>
      <c r="J89" s="11" t="inlineStr">
        <is>
          <t>-</t>
        </is>
      </c>
      <c r="K89" s="11" t="n"/>
    </row>
    <row r="90">
      <c r="A90" s="11" t="inlineStr">
        <is>
          <t>NB04-ALM-CODE</t>
        </is>
      </c>
      <c r="B90" s="11" t="inlineStr">
        <is>
          <t>PV inverter NB04</t>
        </is>
      </c>
      <c r="C90" s="11" t="inlineStr">
        <is>
          <t>Alarm code</t>
        </is>
      </c>
      <c r="D90" s="11" t="inlineStr">
        <is>
          <t>Read</t>
        </is>
      </c>
      <c r="E90" s="11" t="inlineStr">
        <is>
          <t>Status</t>
        </is>
      </c>
      <c r="F90" s="11" t="inlineStr">
        <is>
          <t>-</t>
        </is>
      </c>
      <c r="G90" s="11" t="inlineStr">
        <is>
          <t>PLC box, Modbus TCP</t>
        </is>
      </c>
      <c r="H90" s="11" t="inlineStr">
        <is>
          <t>Status</t>
        </is>
      </c>
      <c r="I90" s="11" t="inlineStr">
        <is>
          <t>-</t>
        </is>
      </c>
      <c r="J90" s="11" t="inlineStr">
        <is>
          <t>-</t>
        </is>
      </c>
      <c r="K90" s="11" t="n"/>
    </row>
    <row r="91">
      <c r="A91" s="11" t="inlineStr">
        <is>
          <t>NB04-COMM-OK</t>
        </is>
      </c>
      <c r="B91" s="11" t="inlineStr">
        <is>
          <t>PV inverter NB04</t>
        </is>
      </c>
      <c r="C91" s="11" t="inlineStr">
        <is>
          <t>Communication healthy</t>
        </is>
      </c>
      <c r="D91" s="11" t="inlineStr">
        <is>
          <t>Read</t>
        </is>
      </c>
      <c r="E91" s="11" t="inlineStr">
        <is>
          <t>Status</t>
        </is>
      </c>
      <c r="F91" s="11" t="inlineStr">
        <is>
          <t>-</t>
        </is>
      </c>
      <c r="G91" s="11" t="inlineStr">
        <is>
          <t>PLC box, Modbus TCP</t>
        </is>
      </c>
      <c r="H91" s="11" t="inlineStr">
        <is>
          <t>2</t>
        </is>
      </c>
      <c r="I91" s="11" t="inlineStr">
        <is>
          <t>Off</t>
        </is>
      </c>
      <c r="J91" s="11" t="inlineStr">
        <is>
          <t>-</t>
        </is>
      </c>
      <c r="K91" s="11" t="n"/>
    </row>
    <row r="92">
      <c r="A92" s="11" t="inlineStr">
        <is>
          <t>NB04-P-LIM-SP</t>
        </is>
      </c>
      <c r="B92" s="11" t="inlineStr">
        <is>
          <t>PV inverter NB04</t>
        </is>
      </c>
      <c r="C92" s="11" t="inlineStr">
        <is>
          <t>Active power limit</t>
        </is>
      </c>
      <c r="D92" s="11" t="inlineStr">
        <is>
          <t>Write</t>
        </is>
      </c>
      <c r="E92" s="11" t="inlineStr">
        <is>
          <t>Setpoint</t>
        </is>
      </c>
      <c r="F92" s="11" t="inlineStr">
        <is>
          <t>%</t>
        </is>
      </c>
      <c r="G92" s="11" t="inlineStr">
        <is>
          <t>PLC box, Modbus TCP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Admin</t>
        </is>
      </c>
      <c r="K92" s="11" t="inlineStr">
        <is>
          <t>Normally set by the EMS; write only if the EMS allows</t>
        </is>
      </c>
    </row>
    <row r="93">
      <c r="A93" s="11" t="inlineStr">
        <is>
          <t>NB04-START-STOP-CMD</t>
        </is>
      </c>
      <c r="B93" s="11" t="inlineStr">
        <is>
          <t>PV inverter NB04</t>
        </is>
      </c>
      <c r="C93" s="11" t="inlineStr">
        <is>
          <t>Start / stop</t>
        </is>
      </c>
      <c r="D93" s="11" t="inlineStr">
        <is>
          <t>Write</t>
        </is>
      </c>
      <c r="E93" s="11" t="inlineStr">
        <is>
          <t>Command</t>
        </is>
      </c>
      <c r="F93" s="11" t="inlineStr">
        <is>
          <t>-</t>
        </is>
      </c>
      <c r="G93" s="11" t="inlineStr">
        <is>
          <t>PLC box, Modbus TCP</t>
        </is>
      </c>
      <c r="H93" s="11" t="inlineStr">
        <is>
          <t>-</t>
        </is>
      </c>
      <c r="I93" s="11" t="inlineStr">
        <is>
          <t>-</t>
        </is>
      </c>
      <c r="J93" s="11" t="inlineStr">
        <is>
          <t>Admin</t>
        </is>
      </c>
      <c r="K93" s="11" t="n"/>
    </row>
    <row r="94">
      <c r="A94" s="11" t="inlineStr">
        <is>
          <t>EMS-P-PLANT</t>
        </is>
      </c>
      <c r="B94" s="11" t="inlineStr">
        <is>
          <t>Embedded EMS</t>
        </is>
      </c>
      <c r="C94" s="11" t="inlineStr">
        <is>
          <t>Plant active power</t>
        </is>
      </c>
      <c r="D94" s="11" t="inlineStr">
        <is>
          <t>Read</t>
        </is>
      </c>
      <c r="E94" s="11" t="inlineStr">
        <is>
          <t>Measured</t>
        </is>
      </c>
      <c r="F94" s="11" t="inlineStr">
        <is>
          <t>kW</t>
        </is>
      </c>
      <c r="G94" s="11" t="inlineStr">
        <is>
          <t>Modbus TCP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n"/>
    </row>
    <row r="95">
      <c r="A95" s="11" t="inlineStr">
        <is>
          <t>EMS-Q-PLANT</t>
        </is>
      </c>
      <c r="B95" s="11" t="inlineStr">
        <is>
          <t>Embedded EMS</t>
        </is>
      </c>
      <c r="C95" s="11" t="inlineStr">
        <is>
          <t>Plant reactive power</t>
        </is>
      </c>
      <c r="D95" s="11" t="inlineStr">
        <is>
          <t>Read</t>
        </is>
      </c>
      <c r="E95" s="11" t="inlineStr">
        <is>
          <t>Measured</t>
        </is>
      </c>
      <c r="F95" s="11" t="inlineStr">
        <is>
          <t>kvar</t>
        </is>
      </c>
      <c r="G95" s="11" t="inlineStr">
        <is>
          <t>Modbus TCP</t>
        </is>
      </c>
      <c r="H95" s="11" t="inlineStr">
        <is>
          <t>-</t>
        </is>
      </c>
      <c r="I95" s="11" t="inlineStr">
        <is>
          <t>-</t>
        </is>
      </c>
      <c r="J95" s="11" t="inlineStr">
        <is>
          <t>-</t>
        </is>
      </c>
      <c r="K95" s="11" t="n"/>
    </row>
    <row r="96">
      <c r="A96" s="11" t="inlineStr">
        <is>
          <t>EMS-P-PV</t>
        </is>
      </c>
      <c r="B96" s="11" t="inlineStr">
        <is>
          <t>Embedded EMS</t>
        </is>
      </c>
      <c r="C96" s="11" t="inlineStr">
        <is>
          <t>PV total power</t>
        </is>
      </c>
      <c r="D96" s="11" t="inlineStr">
        <is>
          <t>Read</t>
        </is>
      </c>
      <c r="E96" s="11" t="inlineStr">
        <is>
          <t>Measured</t>
        </is>
      </c>
      <c r="F96" s="11" t="inlineStr">
        <is>
          <t>kW</t>
        </is>
      </c>
      <c r="G96" s="11" t="inlineStr">
        <is>
          <t>Modbus TCP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n"/>
    </row>
    <row r="97">
      <c r="A97" s="11" t="inlineStr">
        <is>
          <t>EMS-P-BESS</t>
        </is>
      </c>
      <c r="B97" s="11" t="inlineStr">
        <is>
          <t>Embedded EMS</t>
        </is>
      </c>
      <c r="C97" s="11" t="inlineStr">
        <is>
          <t>BESS power</t>
        </is>
      </c>
      <c r="D97" s="11" t="inlineStr">
        <is>
          <t>Read</t>
        </is>
      </c>
      <c r="E97" s="11" t="inlineStr">
        <is>
          <t>Measured</t>
        </is>
      </c>
      <c r="F97" s="11" t="inlineStr">
        <is>
          <t>kW</t>
        </is>
      </c>
      <c r="G97" s="11" t="inlineStr">
        <is>
          <t>Modbus TCP</t>
        </is>
      </c>
      <c r="H97" s="11" t="inlineStr">
        <is>
          <t>-</t>
        </is>
      </c>
      <c r="I97" s="11" t="inlineStr">
        <is>
          <t>-</t>
        </is>
      </c>
      <c r="J97" s="11" t="inlineStr">
        <is>
          <t>-</t>
        </is>
      </c>
      <c r="K97" s="11" t="n"/>
    </row>
    <row r="98">
      <c r="A98" s="11" t="inlineStr">
        <is>
          <t>EMS-P-GEN</t>
        </is>
      </c>
      <c r="B98" s="11" t="inlineStr">
        <is>
          <t>Embedded EMS</t>
        </is>
      </c>
      <c r="C98" s="11" t="inlineStr">
        <is>
          <t>Generator total power</t>
        </is>
      </c>
      <c r="D98" s="11" t="inlineStr">
        <is>
          <t>Read</t>
        </is>
      </c>
      <c r="E98" s="11" t="inlineStr">
        <is>
          <t>Measured</t>
        </is>
      </c>
      <c r="F98" s="11" t="inlineStr">
        <is>
          <t>kW</t>
        </is>
      </c>
      <c r="G98" s="11" t="inlineStr">
        <is>
          <t>Modbus TCP</t>
        </is>
      </c>
      <c r="H98" s="11" t="inlineStr">
        <is>
          <t>-</t>
        </is>
      </c>
      <c r="I98" s="11" t="inlineStr">
        <is>
          <t>-</t>
        </is>
      </c>
      <c r="J98" s="11" t="inlineStr">
        <is>
          <t>-</t>
        </is>
      </c>
      <c r="K98" s="11" t="n"/>
    </row>
    <row r="99">
      <c r="A99" s="11" t="inlineStr">
        <is>
          <t>EMS-P-LOAD</t>
        </is>
      </c>
      <c r="B99" s="11" t="inlineStr">
        <is>
          <t>Embedded EMS</t>
        </is>
      </c>
      <c r="C99" s="11" t="inlineStr">
        <is>
          <t>Load power</t>
        </is>
      </c>
      <c r="D99" s="11" t="inlineStr">
        <is>
          <t>Read</t>
        </is>
      </c>
      <c r="E99" s="11" t="inlineStr">
        <is>
          <t>Measured</t>
        </is>
      </c>
      <c r="F99" s="11" t="inlineStr">
        <is>
          <t>kW</t>
        </is>
      </c>
      <c r="G99" s="11" t="inlineStr">
        <is>
          <t>Modbus TCP</t>
        </is>
      </c>
      <c r="H99" s="11" t="inlineStr">
        <is>
          <t>-</t>
        </is>
      </c>
      <c r="I99" s="11" t="inlineStr">
        <is>
          <t>-</t>
        </is>
      </c>
      <c r="J99" s="11" t="inlineStr">
        <is>
          <t>-</t>
        </is>
      </c>
      <c r="K99" s="11" t="n"/>
    </row>
    <row r="100">
      <c r="A100" s="11" t="inlineStr">
        <is>
          <t>EMS-U-BUS</t>
        </is>
      </c>
      <c r="B100" s="11" t="inlineStr">
        <is>
          <t>Embedded EMS</t>
        </is>
      </c>
      <c r="C100" s="11" t="inlineStr">
        <is>
          <t>Bus voltage</t>
        </is>
      </c>
      <c r="D100" s="11" t="inlineStr">
        <is>
          <t>Read</t>
        </is>
      </c>
      <c r="E100" s="11" t="inlineStr">
        <is>
          <t>Measured</t>
        </is>
      </c>
      <c r="F100" s="11" t="inlineStr">
        <is>
          <t>kV</t>
        </is>
      </c>
      <c r="G100" s="11" t="inlineStr">
        <is>
          <t>Modbus TCP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n"/>
    </row>
    <row r="101">
      <c r="A101" s="11" t="inlineStr">
        <is>
          <t>EMS-F-BUS</t>
        </is>
      </c>
      <c r="B101" s="11" t="inlineStr">
        <is>
          <t>Embedded EMS</t>
        </is>
      </c>
      <c r="C101" s="11" t="inlineStr">
        <is>
          <t>Bus frequency</t>
        </is>
      </c>
      <c r="D101" s="11" t="inlineStr">
        <is>
          <t>Read</t>
        </is>
      </c>
      <c r="E101" s="11" t="inlineStr">
        <is>
          <t>Measured</t>
        </is>
      </c>
      <c r="F101" s="11" t="inlineStr">
        <is>
          <t>Hz</t>
        </is>
      </c>
      <c r="G101" s="11" t="inlineStr">
        <is>
          <t>Modbus TCP</t>
        </is>
      </c>
      <c r="H101" s="11" t="inlineStr">
        <is>
          <t>-</t>
        </is>
      </c>
      <c r="I101" s="11" t="inlineStr">
        <is>
          <t>-</t>
        </is>
      </c>
      <c r="J101" s="11" t="inlineStr">
        <is>
          <t>-</t>
        </is>
      </c>
      <c r="K101" s="11" t="n"/>
    </row>
    <row r="102">
      <c r="A102" s="11" t="inlineStr">
        <is>
          <t>EMS-MODE</t>
        </is>
      </c>
      <c r="B102" s="11" t="inlineStr">
        <is>
          <t>Embedded EMS</t>
        </is>
      </c>
      <c r="C102" s="11" t="inlineStr">
        <is>
          <t>Operating mode</t>
        </is>
      </c>
      <c r="D102" s="11" t="inlineStr">
        <is>
          <t>Read</t>
        </is>
      </c>
      <c r="E102" s="11" t="inlineStr">
        <is>
          <t>Status</t>
        </is>
      </c>
      <c r="F102" s="11" t="inlineStr">
        <is>
          <t>-</t>
        </is>
      </c>
      <c r="G102" s="11" t="inlineStr">
        <is>
          <t>Modbus TCP</t>
        </is>
      </c>
      <c r="H102" s="11" t="inlineStr">
        <is>
          <t>Status</t>
        </is>
      </c>
      <c r="I102" s="11" t="inlineStr">
        <is>
          <t>-</t>
        </is>
      </c>
      <c r="J102" s="11" t="inlineStr">
        <is>
          <t>-</t>
        </is>
      </c>
      <c r="K102" s="11" t="n"/>
    </row>
    <row r="103">
      <c r="A103" s="11" t="inlineStr">
        <is>
          <t>EMS-STATE</t>
        </is>
      </c>
      <c r="B103" s="11" t="inlineStr">
        <is>
          <t>Embedded EMS</t>
        </is>
      </c>
      <c r="C103" s="11" t="inlineStr">
        <is>
          <t>EMS state</t>
        </is>
      </c>
      <c r="D103" s="11" t="inlineStr">
        <is>
          <t>Read</t>
        </is>
      </c>
      <c r="E103" s="11" t="inlineStr">
        <is>
          <t>Status</t>
        </is>
      </c>
      <c r="F103" s="11" t="inlineStr">
        <is>
          <t>-</t>
        </is>
      </c>
      <c r="G103" s="11" t="inlineStr">
        <is>
          <t>Modbus TCP</t>
        </is>
      </c>
      <c r="H103" s="11" t="inlineStr">
        <is>
          <t>Status</t>
        </is>
      </c>
      <c r="I103" s="11" t="inlineStr">
        <is>
          <t>-</t>
        </is>
      </c>
      <c r="J103" s="11" t="inlineStr">
        <is>
          <t>-</t>
        </is>
      </c>
      <c r="K103" s="11" t="n"/>
    </row>
    <row r="104">
      <c r="A104" s="11" t="inlineStr">
        <is>
          <t>EMS-ALM</t>
        </is>
      </c>
      <c r="B104" s="11" t="inlineStr">
        <is>
          <t>Embedded EMS</t>
        </is>
      </c>
      <c r="C104" s="11" t="inlineStr">
        <is>
          <t>EMS summary alarm</t>
        </is>
      </c>
      <c r="D104" s="11" t="inlineStr">
        <is>
          <t>Read</t>
        </is>
      </c>
      <c r="E104" s="11" t="inlineStr">
        <is>
          <t>Status</t>
        </is>
      </c>
      <c r="F104" s="11" t="inlineStr">
        <is>
          <t>-</t>
        </is>
      </c>
      <c r="G104" s="11" t="inlineStr">
        <is>
          <t>Modbus TCP</t>
        </is>
      </c>
      <c r="H104" s="11" t="inlineStr">
        <is>
          <t>2</t>
        </is>
      </c>
      <c r="I104" s="11" t="inlineStr">
        <is>
          <t>On</t>
        </is>
      </c>
      <c r="J104" s="11" t="inlineStr">
        <is>
          <t>-</t>
        </is>
      </c>
      <c r="K104" s="11" t="n"/>
    </row>
    <row r="105">
      <c r="A105" s="11" t="inlineStr">
        <is>
          <t>EMS-GEN-START-REQ</t>
        </is>
      </c>
      <c r="B105" s="11" t="inlineStr">
        <is>
          <t>Embedded EMS</t>
        </is>
      </c>
      <c r="C105" s="11" t="inlineStr">
        <is>
          <t>Generator start request</t>
        </is>
      </c>
      <c r="D105" s="11" t="inlineStr">
        <is>
          <t>Read</t>
        </is>
      </c>
      <c r="E105" s="11" t="inlineStr">
        <is>
          <t>Status</t>
        </is>
      </c>
      <c r="F105" s="11" t="inlineStr">
        <is>
          <t>-</t>
        </is>
      </c>
      <c r="G105" s="11" t="inlineStr">
        <is>
          <t>Modbus TCP</t>
        </is>
      </c>
      <c r="H105" s="11" t="inlineStr">
        <is>
          <t>3</t>
        </is>
      </c>
      <c r="I105" s="11" t="inlineStr">
        <is>
          <t>On</t>
        </is>
      </c>
      <c r="J105" s="11" t="inlineStr">
        <is>
          <t>-</t>
        </is>
      </c>
      <c r="K105" s="11" t="n"/>
    </row>
    <row r="106">
      <c r="A106" s="11" t="inlineStr">
        <is>
          <t>EMS-PV-CURT</t>
        </is>
      </c>
      <c r="B106" s="11" t="inlineStr">
        <is>
          <t>Embedded EMS</t>
        </is>
      </c>
      <c r="C106" s="11" t="inlineStr">
        <is>
          <t>PV curtailment active</t>
        </is>
      </c>
      <c r="D106" s="11" t="inlineStr">
        <is>
          <t>Read</t>
        </is>
      </c>
      <c r="E106" s="11" t="inlineStr">
        <is>
          <t>Status</t>
        </is>
      </c>
      <c r="F106" s="11" t="inlineStr">
        <is>
          <t>-</t>
        </is>
      </c>
      <c r="G106" s="11" t="inlineStr">
        <is>
          <t>Modbus TCP</t>
        </is>
      </c>
      <c r="H106" s="11" t="inlineStr">
        <is>
          <t>3</t>
        </is>
      </c>
      <c r="I106" s="11" t="inlineStr">
        <is>
          <t>On</t>
        </is>
      </c>
      <c r="J106" s="11" t="inlineStr">
        <is>
          <t>-</t>
        </is>
      </c>
      <c r="K106" s="11" t="n"/>
    </row>
    <row r="107">
      <c r="A107" s="11" t="inlineStr">
        <is>
          <t>EMS-HEARTBEAT</t>
        </is>
      </c>
      <c r="B107" s="11" t="inlineStr">
        <is>
          <t>Embedded EMS</t>
        </is>
      </c>
      <c r="C107" s="11" t="inlineStr">
        <is>
          <t>EMS heartbeat</t>
        </is>
      </c>
      <c r="D107" s="11" t="inlineStr">
        <is>
          <t>Read/Write</t>
        </is>
      </c>
      <c r="E107" s="11" t="inlineStr">
        <is>
          <t>Counter</t>
        </is>
      </c>
      <c r="F107" s="11" t="inlineStr">
        <is>
          <t>-</t>
        </is>
      </c>
      <c r="G107" s="11" t="inlineStr">
        <is>
          <t>Modbus TCP</t>
        </is>
      </c>
      <c r="H107" s="11" t="inlineStr">
        <is>
          <t>-</t>
        </is>
      </c>
      <c r="I107" s="11" t="inlineStr">
        <is>
          <t>-</t>
        </is>
      </c>
      <c r="J107" s="11" t="inlineStr">
        <is>
          <t>Automatic</t>
        </is>
      </c>
      <c r="K107" s="11" t="inlineStr">
        <is>
          <t>Link supervision</t>
        </is>
      </c>
    </row>
    <row r="108">
      <c r="A108" s="11" t="inlineStr">
        <is>
          <t>EMS-MODE-CMD</t>
        </is>
      </c>
      <c r="B108" s="11" t="inlineStr">
        <is>
          <t>Embedded EMS</t>
        </is>
      </c>
      <c r="C108" s="11" t="inlineStr">
        <is>
          <t>Operating mode select</t>
        </is>
      </c>
      <c r="D108" s="11" t="inlineStr">
        <is>
          <t>Write</t>
        </is>
      </c>
      <c r="E108" s="11" t="inlineStr">
        <is>
          <t>Command</t>
        </is>
      </c>
      <c r="F108" s="11" t="inlineStr">
        <is>
          <t>-</t>
        </is>
      </c>
      <c r="G108" s="11" t="inlineStr">
        <is>
          <t>Modbus TCP</t>
        </is>
      </c>
      <c r="H108" s="11" t="inlineStr">
        <is>
          <t>-</t>
        </is>
      </c>
      <c r="I108" s="11" t="inlineStr">
        <is>
          <t>-</t>
        </is>
      </c>
      <c r="J108" s="11" t="inlineStr">
        <is>
          <t>Admin</t>
        </is>
      </c>
      <c r="K108" s="11" t="n"/>
    </row>
    <row r="109">
      <c r="A109" s="11" t="inlineStr">
        <is>
          <t>EMS-SOC-MIN-SP</t>
        </is>
      </c>
      <c r="B109" s="11" t="inlineStr">
        <is>
          <t>Embedded EMS</t>
        </is>
      </c>
      <c r="C109" s="11" t="inlineStr">
        <is>
          <t>State of charge minimum</t>
        </is>
      </c>
      <c r="D109" s="11" t="inlineStr">
        <is>
          <t>Write</t>
        </is>
      </c>
      <c r="E109" s="11" t="inlineStr">
        <is>
          <t>Setpoint</t>
        </is>
      </c>
      <c r="F109" s="11" t="inlineStr">
        <is>
          <t>%</t>
        </is>
      </c>
      <c r="G109" s="11" t="inlineStr">
        <is>
          <t>Modbus TCP</t>
        </is>
      </c>
      <c r="H109" s="11" t="inlineStr">
        <is>
          <t>-</t>
        </is>
      </c>
      <c r="I109" s="11" t="inlineStr">
        <is>
          <t>-</t>
        </is>
      </c>
      <c r="J109" s="11" t="inlineStr">
        <is>
          <t>Admin</t>
        </is>
      </c>
      <c r="K109" s="11" t="n"/>
    </row>
    <row r="110">
      <c r="A110" s="11" t="inlineStr">
        <is>
          <t>EMS-SOC-MAX-SP</t>
        </is>
      </c>
      <c r="B110" s="11" t="inlineStr">
        <is>
          <t>Embedded EMS</t>
        </is>
      </c>
      <c r="C110" s="11" t="inlineStr">
        <is>
          <t>State of charge maximum</t>
        </is>
      </c>
      <c r="D110" s="11" t="inlineStr">
        <is>
          <t>Write</t>
        </is>
      </c>
      <c r="E110" s="11" t="inlineStr">
        <is>
          <t>Setpoint</t>
        </is>
      </c>
      <c r="F110" s="11" t="inlineStr">
        <is>
          <t>%</t>
        </is>
      </c>
      <c r="G110" s="11" t="inlineStr">
        <is>
          <t>Modbus TCP</t>
        </is>
      </c>
      <c r="H110" s="11" t="inlineStr">
        <is>
          <t>-</t>
        </is>
      </c>
      <c r="I110" s="11" t="inlineStr">
        <is>
          <t>-</t>
        </is>
      </c>
      <c r="J110" s="11" t="inlineStr">
        <is>
          <t>Admin</t>
        </is>
      </c>
      <c r="K110" s="11" t="n"/>
    </row>
    <row r="111">
      <c r="A111" s="11" t="inlineStr">
        <is>
          <t>EMS-GEN-START-SP</t>
        </is>
      </c>
      <c r="B111" s="11" t="inlineStr">
        <is>
          <t>Embedded EMS</t>
        </is>
      </c>
      <c r="C111" s="11" t="inlineStr">
        <is>
          <t>Generator start threshold</t>
        </is>
      </c>
      <c r="D111" s="11" t="inlineStr">
        <is>
          <t>Write</t>
        </is>
      </c>
      <c r="E111" s="11" t="inlineStr">
        <is>
          <t>Setpoint</t>
        </is>
      </c>
      <c r="F111" s="11" t="inlineStr">
        <is>
          <t>%</t>
        </is>
      </c>
      <c r="G111" s="11" t="inlineStr">
        <is>
          <t>Modbus TCP</t>
        </is>
      </c>
      <c r="H111" s="11" t="inlineStr">
        <is>
          <t>-</t>
        </is>
      </c>
      <c r="I111" s="11" t="inlineStr">
        <is>
          <t>-</t>
        </is>
      </c>
      <c r="J111" s="11" t="inlineStr">
        <is>
          <t>Admin</t>
        </is>
      </c>
      <c r="K111" s="11" t="n"/>
    </row>
    <row r="112">
      <c r="A112" s="11" t="inlineStr">
        <is>
          <t>EMS-GEN-STOP-SP</t>
        </is>
      </c>
      <c r="B112" s="11" t="inlineStr">
        <is>
          <t>Embedded EMS</t>
        </is>
      </c>
      <c r="C112" s="11" t="inlineStr">
        <is>
          <t>Generator stop threshold</t>
        </is>
      </c>
      <c r="D112" s="11" t="inlineStr">
        <is>
          <t>Write</t>
        </is>
      </c>
      <c r="E112" s="11" t="inlineStr">
        <is>
          <t>Setpoint</t>
        </is>
      </c>
      <c r="F112" s="11" t="inlineStr">
        <is>
          <t>%</t>
        </is>
      </c>
      <c r="G112" s="11" t="inlineStr">
        <is>
          <t>Modbus TCP</t>
        </is>
      </c>
      <c r="H112" s="11" t="inlineStr">
        <is>
          <t>-</t>
        </is>
      </c>
      <c r="I112" s="11" t="inlineStr">
        <is>
          <t>-</t>
        </is>
      </c>
      <c r="J112" s="11" t="inlineStr">
        <is>
          <t>Admin</t>
        </is>
      </c>
      <c r="K112" s="11" t="n"/>
    </row>
    <row r="113">
      <c r="A113" s="11" t="inlineStr">
        <is>
          <t>EMS-P-BESS-LIM-SP</t>
        </is>
      </c>
      <c r="B113" s="11" t="inlineStr">
        <is>
          <t>Embedded EMS</t>
        </is>
      </c>
      <c r="C113" s="11" t="inlineStr">
        <is>
          <t>BESS power limit</t>
        </is>
      </c>
      <c r="D113" s="11" t="inlineStr">
        <is>
          <t>Write</t>
        </is>
      </c>
      <c r="E113" s="11" t="inlineStr">
        <is>
          <t>Setpoint</t>
        </is>
      </c>
      <c r="F113" s="11" t="inlineStr">
        <is>
          <t>kW</t>
        </is>
      </c>
      <c r="G113" s="11" t="inlineStr">
        <is>
          <t>Modbus TCP</t>
        </is>
      </c>
      <c r="H113" s="11" t="inlineStr">
        <is>
          <t>-</t>
        </is>
      </c>
      <c r="I113" s="11" t="inlineStr">
        <is>
          <t>-</t>
        </is>
      </c>
      <c r="J113" s="11" t="inlineStr">
        <is>
          <t>Admin</t>
        </is>
      </c>
      <c r="K113" s="11" t="n"/>
    </row>
    <row r="114">
      <c r="A114" s="11" t="inlineStr">
        <is>
          <t>EMS-CRATE-CMD</t>
        </is>
      </c>
      <c r="B114" s="11" t="inlineStr">
        <is>
          <t>Embedded EMS</t>
        </is>
      </c>
      <c r="C114" s="11" t="inlineStr">
        <is>
          <t>BESS C-rate limit enable / disable</t>
        </is>
      </c>
      <c r="D114" s="11" t="inlineStr">
        <is>
          <t>Write</t>
        </is>
      </c>
      <c r="E114" s="11" t="inlineStr">
        <is>
          <t>Command</t>
        </is>
      </c>
      <c r="F114" s="11" t="inlineStr">
        <is>
          <t>-</t>
        </is>
      </c>
      <c r="G114" s="11" t="inlineStr">
        <is>
          <t>Modbus TCP</t>
        </is>
      </c>
      <c r="H114" s="11" t="inlineStr">
        <is>
          <t>-</t>
        </is>
      </c>
      <c r="I114" s="11" t="inlineStr">
        <is>
          <t>-</t>
        </is>
      </c>
      <c r="J114" s="11" t="inlineStr">
        <is>
          <t>Admin</t>
        </is>
      </c>
      <c r="K114" s="11" t="inlineStr">
        <is>
          <t>Calibration only; available only if the EMS exposes it</t>
        </is>
      </c>
    </row>
    <row r="115">
      <c r="A115" s="11" t="inlineStr">
        <is>
          <t>EMS-RESET-L3-CMD</t>
        </is>
      </c>
      <c r="B115" s="11" t="inlineStr">
        <is>
          <t>Embedded EMS</t>
        </is>
      </c>
      <c r="C115" s="11" t="inlineStr">
        <is>
          <t>Fault reset, level 3</t>
        </is>
      </c>
      <c r="D115" s="11" t="inlineStr">
        <is>
          <t>Write</t>
        </is>
      </c>
      <c r="E115" s="11" t="inlineStr">
        <is>
          <t>Command</t>
        </is>
      </c>
      <c r="F115" s="11" t="inlineStr">
        <is>
          <t>-</t>
        </is>
      </c>
      <c r="G115" s="11" t="inlineStr">
        <is>
          <t>Modbus TCP</t>
        </is>
      </c>
      <c r="H115" s="11" t="inlineStr">
        <is>
          <t>-</t>
        </is>
      </c>
      <c r="I115" s="11" t="inlineStr">
        <is>
          <t>-</t>
        </is>
      </c>
      <c r="J115" s="11" t="inlineStr">
        <is>
          <t>Operator</t>
        </is>
      </c>
      <c r="K115" s="11" t="n"/>
    </row>
    <row r="116">
      <c r="A116" s="11" t="inlineStr">
        <is>
          <t>EMS-RESET-L12-CMD</t>
        </is>
      </c>
      <c r="B116" s="11" t="inlineStr">
        <is>
          <t>Embedded EMS</t>
        </is>
      </c>
      <c r="C116" s="11" t="inlineStr">
        <is>
          <t>Fault reset, levels 1 and 2</t>
        </is>
      </c>
      <c r="D116" s="11" t="inlineStr">
        <is>
          <t>Write</t>
        </is>
      </c>
      <c r="E116" s="11" t="inlineStr">
        <is>
          <t>Command</t>
        </is>
      </c>
      <c r="F116" s="11" t="inlineStr">
        <is>
          <t>-</t>
        </is>
      </c>
      <c r="G116" s="11" t="inlineStr">
        <is>
          <t>Modbus TCP</t>
        </is>
      </c>
      <c r="H116" s="11" t="inlineStr">
        <is>
          <t>-</t>
        </is>
      </c>
      <c r="I116" s="11" t="inlineStr">
        <is>
          <t>-</t>
        </is>
      </c>
      <c r="J116" s="11" t="inlineStr">
        <is>
          <t>Admin</t>
        </is>
      </c>
      <c r="K116" s="11" t="n"/>
    </row>
    <row r="117">
      <c r="A117" s="11" t="inlineStr">
        <is>
          <t>BESS-SOC</t>
        </is>
      </c>
      <c r="B117" s="11" t="inlineStr">
        <is>
          <t>Battery system ST3340UX</t>
        </is>
      </c>
      <c r="C117" s="11" t="inlineStr">
        <is>
          <t>State of charge</t>
        </is>
      </c>
      <c r="D117" s="11" t="inlineStr">
        <is>
          <t>Read</t>
        </is>
      </c>
      <c r="E117" s="11" t="inlineStr">
        <is>
          <t>Measured</t>
        </is>
      </c>
      <c r="F117" s="11" t="inlineStr">
        <is>
          <t>%</t>
        </is>
      </c>
      <c r="G117" s="11" t="inlineStr">
        <is>
          <t>Through the EMS, Modbus TCP</t>
        </is>
      </c>
      <c r="H117" s="11" t="inlineStr">
        <is>
          <t>-</t>
        </is>
      </c>
      <c r="I117" s="11" t="inlineStr">
        <is>
          <t>-</t>
        </is>
      </c>
      <c r="J117" s="11" t="inlineStr">
        <is>
          <t>-</t>
        </is>
      </c>
      <c r="K117" s="11" t="n"/>
    </row>
    <row r="118">
      <c r="A118" s="11" t="inlineStr">
        <is>
          <t>BESS-SOH</t>
        </is>
      </c>
      <c r="B118" s="11" t="inlineStr">
        <is>
          <t>Battery system ST3340UX</t>
        </is>
      </c>
      <c r="C118" s="11" t="inlineStr">
        <is>
          <t>State of health</t>
        </is>
      </c>
      <c r="D118" s="11" t="inlineStr">
        <is>
          <t>Read</t>
        </is>
      </c>
      <c r="E118" s="11" t="inlineStr">
        <is>
          <t>Measured</t>
        </is>
      </c>
      <c r="F118" s="11" t="inlineStr">
        <is>
          <t>%</t>
        </is>
      </c>
      <c r="G118" s="11" t="inlineStr">
        <is>
          <t>Through the EMS, Modbus TCP</t>
        </is>
      </c>
      <c r="H118" s="11" t="inlineStr">
        <is>
          <t>-</t>
        </is>
      </c>
      <c r="I118" s="11" t="inlineStr">
        <is>
          <t>-</t>
        </is>
      </c>
      <c r="J118" s="11" t="inlineStr">
        <is>
          <t>-</t>
        </is>
      </c>
      <c r="K118" s="11" t="n"/>
    </row>
    <row r="119">
      <c r="A119" s="11" t="inlineStr">
        <is>
          <t>BESS-U-DC</t>
        </is>
      </c>
      <c r="B119" s="11" t="inlineStr">
        <is>
          <t>Battery system ST3340UX</t>
        </is>
      </c>
      <c r="C119" s="11" t="inlineStr">
        <is>
          <t>DC voltage</t>
        </is>
      </c>
      <c r="D119" s="11" t="inlineStr">
        <is>
          <t>Read</t>
        </is>
      </c>
      <c r="E119" s="11" t="inlineStr">
        <is>
          <t>Measured</t>
        </is>
      </c>
      <c r="F119" s="11" t="inlineStr">
        <is>
          <t>V</t>
        </is>
      </c>
      <c r="G119" s="11" t="inlineStr">
        <is>
          <t>Through the EMS, Modbus TCP</t>
        </is>
      </c>
      <c r="H119" s="11" t="inlineStr">
        <is>
          <t>-</t>
        </is>
      </c>
      <c r="I119" s="11" t="inlineStr">
        <is>
          <t>-</t>
        </is>
      </c>
      <c r="J119" s="11" t="inlineStr">
        <is>
          <t>-</t>
        </is>
      </c>
      <c r="K119" s="11" t="n"/>
    </row>
    <row r="120">
      <c r="A120" s="11" t="inlineStr">
        <is>
          <t>BESS-I-DC</t>
        </is>
      </c>
      <c r="B120" s="11" t="inlineStr">
        <is>
          <t>Battery system ST3340UX</t>
        </is>
      </c>
      <c r="C120" s="11" t="inlineStr">
        <is>
          <t>DC current</t>
        </is>
      </c>
      <c r="D120" s="11" t="inlineStr">
        <is>
          <t>Read</t>
        </is>
      </c>
      <c r="E120" s="11" t="inlineStr">
        <is>
          <t>Measured</t>
        </is>
      </c>
      <c r="F120" s="11" t="inlineStr">
        <is>
          <t>A</t>
        </is>
      </c>
      <c r="G120" s="11" t="inlineStr">
        <is>
          <t>Through the EMS, Modbus TCP</t>
        </is>
      </c>
      <c r="H120" s="11" t="inlineStr">
        <is>
          <t>-</t>
        </is>
      </c>
      <c r="I120" s="11" t="inlineStr">
        <is>
          <t>-</t>
        </is>
      </c>
      <c r="J120" s="11" t="inlineStr">
        <is>
          <t>-</t>
        </is>
      </c>
      <c r="K120" s="11" t="n"/>
    </row>
    <row r="121">
      <c r="A121" s="11" t="inlineStr">
        <is>
          <t>BESS-P</t>
        </is>
      </c>
      <c r="B121" s="11" t="inlineStr">
        <is>
          <t>Battery system ST3340UX</t>
        </is>
      </c>
      <c r="C121" s="11" t="inlineStr">
        <is>
          <t>Active power</t>
        </is>
      </c>
      <c r="D121" s="11" t="inlineStr">
        <is>
          <t>Read</t>
        </is>
      </c>
      <c r="E121" s="11" t="inlineStr">
        <is>
          <t>Measured</t>
        </is>
      </c>
      <c r="F121" s="11" t="inlineStr">
        <is>
          <t>kW</t>
        </is>
      </c>
      <c r="G121" s="11" t="inlineStr">
        <is>
          <t>Through the EMS, Modbus TCP</t>
        </is>
      </c>
      <c r="H121" s="11" t="inlineStr">
        <is>
          <t>-</t>
        </is>
      </c>
      <c r="I121" s="11" t="inlineStr">
        <is>
          <t>-</t>
        </is>
      </c>
      <c r="J121" s="11" t="inlineStr">
        <is>
          <t>-</t>
        </is>
      </c>
      <c r="K121" s="11" t="n"/>
    </row>
    <row r="122">
      <c r="A122" s="11" t="inlineStr">
        <is>
          <t>BESS-Q</t>
        </is>
      </c>
      <c r="B122" s="11" t="inlineStr">
        <is>
          <t>Battery system ST3340UX</t>
        </is>
      </c>
      <c r="C122" s="11" t="inlineStr">
        <is>
          <t>Reactive power</t>
        </is>
      </c>
      <c r="D122" s="11" t="inlineStr">
        <is>
          <t>Read</t>
        </is>
      </c>
      <c r="E122" s="11" t="inlineStr">
        <is>
          <t>Measured</t>
        </is>
      </c>
      <c r="F122" s="11" t="inlineStr">
        <is>
          <t>kvar</t>
        </is>
      </c>
      <c r="G122" s="11" t="inlineStr">
        <is>
          <t>Through the EMS, Modbus TCP</t>
        </is>
      </c>
      <c r="H122" s="11" t="inlineStr">
        <is>
          <t>-</t>
        </is>
      </c>
      <c r="I122" s="11" t="inlineStr">
        <is>
          <t>-</t>
        </is>
      </c>
      <c r="J122" s="11" t="inlineStr">
        <is>
          <t>-</t>
        </is>
      </c>
      <c r="K122" s="11" t="n"/>
    </row>
    <row r="123">
      <c r="A123" s="11" t="inlineStr">
        <is>
          <t>BESS-U-CELL-MAX</t>
        </is>
      </c>
      <c r="B123" s="11" t="inlineStr">
        <is>
          <t>Battery system ST3340UX</t>
        </is>
      </c>
      <c r="C123" s="11" t="inlineStr">
        <is>
          <t>Cell voltage maximum</t>
        </is>
      </c>
      <c r="D123" s="11" t="inlineStr">
        <is>
          <t>Read</t>
        </is>
      </c>
      <c r="E123" s="11" t="inlineStr">
        <is>
          <t>Measured</t>
        </is>
      </c>
      <c r="F123" s="11" t="inlineStr">
        <is>
          <t>V</t>
        </is>
      </c>
      <c r="G123" s="11" t="inlineStr">
        <is>
          <t>Through the EMS, Modbus TCP</t>
        </is>
      </c>
      <c r="H123" s="11" t="inlineStr">
        <is>
          <t>-</t>
        </is>
      </c>
      <c r="I123" s="11" t="inlineStr">
        <is>
          <t>-</t>
        </is>
      </c>
      <c r="J123" s="11" t="inlineStr">
        <is>
          <t>-</t>
        </is>
      </c>
      <c r="K123" s="11" t="n"/>
    </row>
    <row r="124">
      <c r="A124" s="11" t="inlineStr">
        <is>
          <t>BESS-U-CELL-MIN</t>
        </is>
      </c>
      <c r="B124" s="11" t="inlineStr">
        <is>
          <t>Battery system ST3340UX</t>
        </is>
      </c>
      <c r="C124" s="11" t="inlineStr">
        <is>
          <t>Cell voltage minimum</t>
        </is>
      </c>
      <c r="D124" s="11" t="inlineStr">
        <is>
          <t>Read</t>
        </is>
      </c>
      <c r="E124" s="11" t="inlineStr">
        <is>
          <t>Measured</t>
        </is>
      </c>
      <c r="F124" s="11" t="inlineStr">
        <is>
          <t>V</t>
        </is>
      </c>
      <c r="G124" s="11" t="inlineStr">
        <is>
          <t>Through the EMS, Modbus TCP</t>
        </is>
      </c>
      <c r="H124" s="11" t="inlineStr">
        <is>
          <t>-</t>
        </is>
      </c>
      <c r="I124" s="11" t="inlineStr">
        <is>
          <t>-</t>
        </is>
      </c>
      <c r="J124" s="11" t="inlineStr">
        <is>
          <t>-</t>
        </is>
      </c>
      <c r="K124" s="11" t="n"/>
    </row>
    <row r="125">
      <c r="A125" s="11" t="inlineStr">
        <is>
          <t>BESS-T-CELL-MAX</t>
        </is>
      </c>
      <c r="B125" s="11" t="inlineStr">
        <is>
          <t>Battery system ST3340UX</t>
        </is>
      </c>
      <c r="C125" s="11" t="inlineStr">
        <is>
          <t>Cell temperature maximum</t>
        </is>
      </c>
      <c r="D125" s="11" t="inlineStr">
        <is>
          <t>Read</t>
        </is>
      </c>
      <c r="E125" s="11" t="inlineStr">
        <is>
          <t>Measured</t>
        </is>
      </c>
      <c r="F125" s="11" t="inlineStr">
        <is>
          <t>deg C</t>
        </is>
      </c>
      <c r="G125" s="11" t="inlineStr">
        <is>
          <t>Through the EMS, Modbus TCP</t>
        </is>
      </c>
      <c r="H125" s="11" t="inlineStr">
        <is>
          <t>-</t>
        </is>
      </c>
      <c r="I125" s="11" t="inlineStr">
        <is>
          <t>-</t>
        </is>
      </c>
      <c r="J125" s="11" t="inlineStr">
        <is>
          <t>-</t>
        </is>
      </c>
      <c r="K125" s="11" t="n"/>
    </row>
    <row r="126">
      <c r="A126" s="11" t="inlineStr">
        <is>
          <t>BESS-T-CELL-MIN</t>
        </is>
      </c>
      <c r="B126" s="11" t="inlineStr">
        <is>
          <t>Battery system ST3340UX</t>
        </is>
      </c>
      <c r="C126" s="11" t="inlineStr">
        <is>
          <t>Cell temperature minimum</t>
        </is>
      </c>
      <c r="D126" s="11" t="inlineStr">
        <is>
          <t>Read</t>
        </is>
      </c>
      <c r="E126" s="11" t="inlineStr">
        <is>
          <t>Measured</t>
        </is>
      </c>
      <c r="F126" s="11" t="inlineStr">
        <is>
          <t>deg C</t>
        </is>
      </c>
      <c r="G126" s="11" t="inlineStr">
        <is>
          <t>Through the EMS, Modbus TCP</t>
        </is>
      </c>
      <c r="H126" s="11" t="inlineStr">
        <is>
          <t>-</t>
        </is>
      </c>
      <c r="I126" s="11" t="inlineStr">
        <is>
          <t>-</t>
        </is>
      </c>
      <c r="J126" s="11" t="inlineStr">
        <is>
          <t>-</t>
        </is>
      </c>
      <c r="K126" s="11" t="n"/>
    </row>
    <row r="127">
      <c r="A127" s="11" t="inlineStr">
        <is>
          <t>BESS-P-CHG-LIM</t>
        </is>
      </c>
      <c r="B127" s="11" t="inlineStr">
        <is>
          <t>Battery system ST3340UX</t>
        </is>
      </c>
      <c r="C127" s="11" t="inlineStr">
        <is>
          <t>Charge power limit</t>
        </is>
      </c>
      <c r="D127" s="11" t="inlineStr">
        <is>
          <t>Read</t>
        </is>
      </c>
      <c r="E127" s="11" t="inlineStr">
        <is>
          <t>Measured</t>
        </is>
      </c>
      <c r="F127" s="11" t="inlineStr">
        <is>
          <t>kW</t>
        </is>
      </c>
      <c r="G127" s="11" t="inlineStr">
        <is>
          <t>Through the EMS, Modbus TCP</t>
        </is>
      </c>
      <c r="H127" s="11" t="inlineStr">
        <is>
          <t>-</t>
        </is>
      </c>
      <c r="I127" s="11" t="inlineStr">
        <is>
          <t>-</t>
        </is>
      </c>
      <c r="J127" s="11" t="inlineStr">
        <is>
          <t>-</t>
        </is>
      </c>
      <c r="K127" s="11" t="n"/>
    </row>
    <row r="128">
      <c r="A128" s="11" t="inlineStr">
        <is>
          <t>BESS-P-DIS-LIM</t>
        </is>
      </c>
      <c r="B128" s="11" t="inlineStr">
        <is>
          <t>Battery system ST3340UX</t>
        </is>
      </c>
      <c r="C128" s="11" t="inlineStr">
        <is>
          <t>Discharge power limit</t>
        </is>
      </c>
      <c r="D128" s="11" t="inlineStr">
        <is>
          <t>Read</t>
        </is>
      </c>
      <c r="E128" s="11" t="inlineStr">
        <is>
          <t>Measured</t>
        </is>
      </c>
      <c r="F128" s="11" t="inlineStr">
        <is>
          <t>kW</t>
        </is>
      </c>
      <c r="G128" s="11" t="inlineStr">
        <is>
          <t>Through the EMS, Modbus TCP</t>
        </is>
      </c>
      <c r="H128" s="11" t="inlineStr">
        <is>
          <t>-</t>
        </is>
      </c>
      <c r="I128" s="11" t="inlineStr">
        <is>
          <t>-</t>
        </is>
      </c>
      <c r="J128" s="11" t="inlineStr">
        <is>
          <t>-</t>
        </is>
      </c>
      <c r="K128" s="11" t="n"/>
    </row>
    <row r="129">
      <c r="A129" s="11" t="inlineStr">
        <is>
          <t>BESS-E-CHG</t>
        </is>
      </c>
      <c r="B129" s="11" t="inlineStr">
        <is>
          <t>Battery system ST3340UX</t>
        </is>
      </c>
      <c r="C129" s="11" t="inlineStr">
        <is>
          <t>Energy charged total</t>
        </is>
      </c>
      <c r="D129" s="11" t="inlineStr">
        <is>
          <t>Read</t>
        </is>
      </c>
      <c r="E129" s="11" t="inlineStr">
        <is>
          <t>Counter</t>
        </is>
      </c>
      <c r="F129" s="11" t="inlineStr">
        <is>
          <t>MWh</t>
        </is>
      </c>
      <c r="G129" s="11" t="inlineStr">
        <is>
          <t>Through the EMS, Modbus TCP</t>
        </is>
      </c>
      <c r="H129" s="11" t="inlineStr">
        <is>
          <t>-</t>
        </is>
      </c>
      <c r="I129" s="11" t="inlineStr">
        <is>
          <t>-</t>
        </is>
      </c>
      <c r="J129" s="11" t="inlineStr">
        <is>
          <t>-</t>
        </is>
      </c>
      <c r="K129" s="11" t="n"/>
    </row>
    <row r="130">
      <c r="A130" s="11" t="inlineStr">
        <is>
          <t>BESS-E-DIS</t>
        </is>
      </c>
      <c r="B130" s="11" t="inlineStr">
        <is>
          <t>Battery system ST3340UX</t>
        </is>
      </c>
      <c r="C130" s="11" t="inlineStr">
        <is>
          <t>Energy discharged total</t>
        </is>
      </c>
      <c r="D130" s="11" t="inlineStr">
        <is>
          <t>Read</t>
        </is>
      </c>
      <c r="E130" s="11" t="inlineStr">
        <is>
          <t>Counter</t>
        </is>
      </c>
      <c r="F130" s="11" t="inlineStr">
        <is>
          <t>MWh</t>
        </is>
      </c>
      <c r="G130" s="11" t="inlineStr">
        <is>
          <t>Through the EMS, Modbus TCP</t>
        </is>
      </c>
      <c r="H130" s="11" t="inlineStr">
        <is>
          <t>-</t>
        </is>
      </c>
      <c r="I130" s="11" t="inlineStr">
        <is>
          <t>-</t>
        </is>
      </c>
      <c r="J130" s="11" t="inlineStr">
        <is>
          <t>-</t>
        </is>
      </c>
      <c r="K130" s="11" t="n"/>
    </row>
    <row r="131">
      <c r="A131" s="11" t="inlineStr">
        <is>
          <t>BESS-PCS-STATE</t>
        </is>
      </c>
      <c r="B131" s="11" t="inlineStr">
        <is>
          <t>Battery system ST3340UX</t>
        </is>
      </c>
      <c r="C131" s="11" t="inlineStr">
        <is>
          <t>Converter state</t>
        </is>
      </c>
      <c r="D131" s="11" t="inlineStr">
        <is>
          <t>Read</t>
        </is>
      </c>
      <c r="E131" s="11" t="inlineStr">
        <is>
          <t>Status</t>
        </is>
      </c>
      <c r="F131" s="11" t="inlineStr">
        <is>
          <t>-</t>
        </is>
      </c>
      <c r="G131" s="11" t="inlineStr">
        <is>
          <t>Through the EMS, Modbus TCP</t>
        </is>
      </c>
      <c r="H131" s="11" t="inlineStr">
        <is>
          <t>Status</t>
        </is>
      </c>
      <c r="I131" s="11" t="inlineStr">
        <is>
          <t>-</t>
        </is>
      </c>
      <c r="J131" s="11" t="inlineStr">
        <is>
          <t>-</t>
        </is>
      </c>
      <c r="K131" s="11" t="n"/>
    </row>
    <row r="132">
      <c r="A132" s="11" t="inlineStr">
        <is>
          <t>BESS-BMS-STATE</t>
        </is>
      </c>
      <c r="B132" s="11" t="inlineStr">
        <is>
          <t>Battery system ST3340UX</t>
        </is>
      </c>
      <c r="C132" s="11" t="inlineStr">
        <is>
          <t>Battery management state</t>
        </is>
      </c>
      <c r="D132" s="11" t="inlineStr">
        <is>
          <t>Read</t>
        </is>
      </c>
      <c r="E132" s="11" t="inlineStr">
        <is>
          <t>Status</t>
        </is>
      </c>
      <c r="F132" s="11" t="inlineStr">
        <is>
          <t>-</t>
        </is>
      </c>
      <c r="G132" s="11" t="inlineStr">
        <is>
          <t>Through the EMS, Modbus TCP</t>
        </is>
      </c>
      <c r="H132" s="11" t="inlineStr">
        <is>
          <t>Status</t>
        </is>
      </c>
      <c r="I132" s="11" t="inlineStr">
        <is>
          <t>-</t>
        </is>
      </c>
      <c r="J132" s="11" t="inlineStr">
        <is>
          <t>-</t>
        </is>
      </c>
      <c r="K132" s="11" t="n"/>
    </row>
    <row r="133">
      <c r="A133" s="11" t="inlineStr">
        <is>
          <t>BESS-RACKS-ON</t>
        </is>
      </c>
      <c r="B133" s="11" t="inlineStr">
        <is>
          <t>Battery system ST3340UX</t>
        </is>
      </c>
      <c r="C133" s="11" t="inlineStr">
        <is>
          <t>Racks online</t>
        </is>
      </c>
      <c r="D133" s="11" t="inlineStr">
        <is>
          <t>Read</t>
        </is>
      </c>
      <c r="E133" s="11" t="inlineStr">
        <is>
          <t>Measured</t>
        </is>
      </c>
      <c r="F133" s="11" t="inlineStr">
        <is>
          <t>-</t>
        </is>
      </c>
      <c r="G133" s="11" t="inlineStr">
        <is>
          <t>Through the EMS, Modbus TCP</t>
        </is>
      </c>
      <c r="H133" s="11" t="inlineStr">
        <is>
          <t>-</t>
        </is>
      </c>
      <c r="I133" s="11" t="inlineStr">
        <is>
          <t>-</t>
        </is>
      </c>
      <c r="J133" s="11" t="inlineStr">
        <is>
          <t>-</t>
        </is>
      </c>
      <c r="K133" s="11" t="n"/>
    </row>
    <row r="134">
      <c r="A134" s="11" t="inlineStr">
        <is>
          <t>BESS-DC-CONT</t>
        </is>
      </c>
      <c r="B134" s="11" t="inlineStr">
        <is>
          <t>Battery system ST3340UX</t>
        </is>
      </c>
      <c r="C134" s="11" t="inlineStr">
        <is>
          <t>DC contactors closed</t>
        </is>
      </c>
      <c r="D134" s="11" t="inlineStr">
        <is>
          <t>Read</t>
        </is>
      </c>
      <c r="E134" s="11" t="inlineStr">
        <is>
          <t>Status</t>
        </is>
      </c>
      <c r="F134" s="11" t="inlineStr">
        <is>
          <t>-</t>
        </is>
      </c>
      <c r="G134" s="11" t="inlineStr">
        <is>
          <t>Through the EMS, Modbus TCP</t>
        </is>
      </c>
      <c r="H134" s="11" t="inlineStr">
        <is>
          <t>Status</t>
        </is>
      </c>
      <c r="I134" s="11" t="inlineStr">
        <is>
          <t>-</t>
        </is>
      </c>
      <c r="J134" s="11" t="inlineStr">
        <is>
          <t>-</t>
        </is>
      </c>
      <c r="K134" s="11" t="n"/>
    </row>
    <row r="135">
      <c r="A135" s="11" t="inlineStr">
        <is>
          <t>BESS-COOL-STATE</t>
        </is>
      </c>
      <c r="B135" s="11" t="inlineStr">
        <is>
          <t>Battery system ST3340UX</t>
        </is>
      </c>
      <c r="C135" s="11" t="inlineStr">
        <is>
          <t>Cooling system state</t>
        </is>
      </c>
      <c r="D135" s="11" t="inlineStr">
        <is>
          <t>Read</t>
        </is>
      </c>
      <c r="E135" s="11" t="inlineStr">
        <is>
          <t>Status</t>
        </is>
      </c>
      <c r="F135" s="11" t="inlineStr">
        <is>
          <t>-</t>
        </is>
      </c>
      <c r="G135" s="11" t="inlineStr">
        <is>
          <t>Through the EMS, Modbus TCP</t>
        </is>
      </c>
      <c r="H135" s="11" t="inlineStr">
        <is>
          <t>Status</t>
        </is>
      </c>
      <c r="I135" s="11" t="inlineStr">
        <is>
          <t>-</t>
        </is>
      </c>
      <c r="J135" s="11" t="inlineStr">
        <is>
          <t>-</t>
        </is>
      </c>
      <c r="K135" s="11" t="n"/>
    </row>
    <row r="136">
      <c r="A136" s="11" t="inlineStr">
        <is>
          <t>BESS-ALM-L1</t>
        </is>
      </c>
      <c r="B136" s="11" t="inlineStr">
        <is>
          <t>Battery system ST3340UX</t>
        </is>
      </c>
      <c r="C136" s="11" t="inlineStr">
        <is>
          <t>Alarm level 1</t>
        </is>
      </c>
      <c r="D136" s="11" t="inlineStr">
        <is>
          <t>Read</t>
        </is>
      </c>
      <c r="E136" s="11" t="inlineStr">
        <is>
          <t>Status</t>
        </is>
      </c>
      <c r="F136" s="11" t="inlineStr">
        <is>
          <t>-</t>
        </is>
      </c>
      <c r="G136" s="11" t="inlineStr">
        <is>
          <t>Through the EMS, Modbus TCP</t>
        </is>
      </c>
      <c r="H136" s="11" t="inlineStr">
        <is>
          <t>1</t>
        </is>
      </c>
      <c r="I136" s="11" t="inlineStr">
        <is>
          <t>On</t>
        </is>
      </c>
      <c r="J136" s="11" t="inlineStr">
        <is>
          <t>-</t>
        </is>
      </c>
      <c r="K136" s="11" t="n"/>
    </row>
    <row r="137">
      <c r="A137" s="11" t="inlineStr">
        <is>
          <t>BESS-ALM-L2</t>
        </is>
      </c>
      <c r="B137" s="11" t="inlineStr">
        <is>
          <t>Battery system ST3340UX</t>
        </is>
      </c>
      <c r="C137" s="11" t="inlineStr">
        <is>
          <t>Alarm level 2</t>
        </is>
      </c>
      <c r="D137" s="11" t="inlineStr">
        <is>
          <t>Read</t>
        </is>
      </c>
      <c r="E137" s="11" t="inlineStr">
        <is>
          <t>Status</t>
        </is>
      </c>
      <c r="F137" s="11" t="inlineStr">
        <is>
          <t>-</t>
        </is>
      </c>
      <c r="G137" s="11" t="inlineStr">
        <is>
          <t>Through the EMS, Modbus TCP</t>
        </is>
      </c>
      <c r="H137" s="11" t="inlineStr">
        <is>
          <t>2</t>
        </is>
      </c>
      <c r="I137" s="11" t="inlineStr">
        <is>
          <t>On</t>
        </is>
      </c>
      <c r="J137" s="11" t="inlineStr">
        <is>
          <t>-</t>
        </is>
      </c>
      <c r="K137" s="11" t="n"/>
    </row>
    <row r="138">
      <c r="A138" s="11" t="inlineStr">
        <is>
          <t>BESS-ALM-L3</t>
        </is>
      </c>
      <c r="B138" s="11" t="inlineStr">
        <is>
          <t>Battery system ST3340UX</t>
        </is>
      </c>
      <c r="C138" s="11" t="inlineStr">
        <is>
          <t>Alarm level 3</t>
        </is>
      </c>
      <c r="D138" s="11" t="inlineStr">
        <is>
          <t>Read</t>
        </is>
      </c>
      <c r="E138" s="11" t="inlineStr">
        <is>
          <t>Status</t>
        </is>
      </c>
      <c r="F138" s="11" t="inlineStr">
        <is>
          <t>-</t>
        </is>
      </c>
      <c r="G138" s="11" t="inlineStr">
        <is>
          <t>Through the EMS, Modbus TCP</t>
        </is>
      </c>
      <c r="H138" s="11" t="inlineStr">
        <is>
          <t>3</t>
        </is>
      </c>
      <c r="I138" s="11" t="inlineStr">
        <is>
          <t>On</t>
        </is>
      </c>
      <c r="J138" s="11" t="inlineStr">
        <is>
          <t>-</t>
        </is>
      </c>
      <c r="K138" s="11" t="n"/>
    </row>
    <row r="139">
      <c r="A139" s="11" t="inlineStr">
        <is>
          <t>BESS-FIRE</t>
        </is>
      </c>
      <c r="B139" s="11" t="inlineStr">
        <is>
          <t>Battery system ST3340UX</t>
        </is>
      </c>
      <c r="C139" s="11" t="inlineStr">
        <is>
          <t>Container fire status</t>
        </is>
      </c>
      <c r="D139" s="11" t="inlineStr">
        <is>
          <t>Read</t>
        </is>
      </c>
      <c r="E139" s="11" t="inlineStr">
        <is>
          <t>Status</t>
        </is>
      </c>
      <c r="F139" s="11" t="inlineStr">
        <is>
          <t>-</t>
        </is>
      </c>
      <c r="G139" s="11" t="inlineStr">
        <is>
          <t>Through the EMS, Modbus TCP</t>
        </is>
      </c>
      <c r="H139" s="11" t="inlineStr">
        <is>
          <t>1</t>
        </is>
      </c>
      <c r="I139" s="11" t="inlineStr">
        <is>
          <t>On</t>
        </is>
      </c>
      <c r="J139" s="11" t="inlineStr">
        <is>
          <t>-</t>
        </is>
      </c>
      <c r="K139" s="11" t="n"/>
    </row>
    <row r="140">
      <c r="A140" s="11" t="inlineStr">
        <is>
          <t>BESS-BCP1-SW-CLSD</t>
        </is>
      </c>
      <c r="B140" s="11" t="inlineStr">
        <is>
          <t>Battery system ST3340UX</t>
        </is>
      </c>
      <c r="C140" s="11" t="inlineStr">
        <is>
          <t>Battery combiner panel DC switch closed (2 points)</t>
        </is>
      </c>
      <c r="D140" s="11" t="inlineStr">
        <is>
          <t>Read</t>
        </is>
      </c>
      <c r="E140" s="11" t="inlineStr">
        <is>
          <t>Status</t>
        </is>
      </c>
      <c r="F140" s="11" t="inlineStr">
        <is>
          <t>-</t>
        </is>
      </c>
      <c r="G140" s="11" t="inlineStr">
        <is>
          <t>Through the EMS, Modbus TCP</t>
        </is>
      </c>
      <c r="H140" s="11" t="inlineStr">
        <is>
          <t>2</t>
        </is>
      </c>
      <c r="I140" s="11" t="inlineStr">
        <is>
          <t>On</t>
        </is>
      </c>
      <c r="J140" s="11" t="inlineStr">
        <is>
          <t>-</t>
        </is>
      </c>
      <c r="K140" s="11" t="inlineStr">
        <is>
          <t>Added rev 1. Combiner panels BCP unit 1# and 2#, if the EMS exposes them</t>
        </is>
      </c>
    </row>
    <row r="141">
      <c r="A141" s="11" t="inlineStr">
        <is>
          <t>BESS-BCP2-SW-CLSD</t>
        </is>
      </c>
      <c r="B141" s="11" t="inlineStr">
        <is>
          <t>Battery system ST3340UX</t>
        </is>
      </c>
      <c r="C141" s="11" t="inlineStr">
        <is>
          <t>Battery combiner panel DC switch closed (2 points)</t>
        </is>
      </c>
      <c r="D141" s="11" t="inlineStr">
        <is>
          <t>Read</t>
        </is>
      </c>
      <c r="E141" s="11" t="inlineStr">
        <is>
          <t>Status</t>
        </is>
      </c>
      <c r="F141" s="11" t="inlineStr">
        <is>
          <t>-</t>
        </is>
      </c>
      <c r="G141" s="11" t="inlineStr">
        <is>
          <t>Through the EMS, Modbus TCP</t>
        </is>
      </c>
      <c r="H141" s="11" t="inlineStr">
        <is>
          <t>2</t>
        </is>
      </c>
      <c r="I141" s="11" t="inlineStr">
        <is>
          <t>On</t>
        </is>
      </c>
      <c r="J141" s="11" t="inlineStr">
        <is>
          <t>-</t>
        </is>
      </c>
      <c r="K141" s="11" t="inlineStr">
        <is>
          <t>Added rev 1. Combiner panels BCP unit 1# and 2#, if the EMS exposes them</t>
        </is>
      </c>
    </row>
    <row r="142">
      <c r="A142" s="11" t="inlineStr">
        <is>
          <t>BESS-BCP1-FUSE</t>
        </is>
      </c>
      <c r="B142" s="11" t="inlineStr">
        <is>
          <t>Battery system ST3340UX</t>
        </is>
      </c>
      <c r="C142" s="11" t="inlineStr">
        <is>
          <t>Battery combiner panel fuse blown (2 points)</t>
        </is>
      </c>
      <c r="D142" s="11" t="inlineStr">
        <is>
          <t>Read</t>
        </is>
      </c>
      <c r="E142" s="11" t="inlineStr">
        <is>
          <t>Status</t>
        </is>
      </c>
      <c r="F142" s="11" t="inlineStr">
        <is>
          <t>-</t>
        </is>
      </c>
      <c r="G142" s="11" t="inlineStr">
        <is>
          <t>Through the EMS, Modbus TCP</t>
        </is>
      </c>
      <c r="H142" s="11" t="inlineStr">
        <is>
          <t>1</t>
        </is>
      </c>
      <c r="I142" s="11" t="inlineStr">
        <is>
          <t>On</t>
        </is>
      </c>
      <c r="J142" s="11" t="inlineStr">
        <is>
          <t>-</t>
        </is>
      </c>
      <c r="K142" s="11" t="inlineStr">
        <is>
          <t>Added rev 1. As above</t>
        </is>
      </c>
    </row>
    <row r="143">
      <c r="A143" s="11" t="inlineStr">
        <is>
          <t>BESS-BCP2-FUSE</t>
        </is>
      </c>
      <c r="B143" s="11" t="inlineStr">
        <is>
          <t>Battery system ST3340UX</t>
        </is>
      </c>
      <c r="C143" s="11" t="inlineStr">
        <is>
          <t>Battery combiner panel fuse blown (2 points)</t>
        </is>
      </c>
      <c r="D143" s="11" t="inlineStr">
        <is>
          <t>Read</t>
        </is>
      </c>
      <c r="E143" s="11" t="inlineStr">
        <is>
          <t>Status</t>
        </is>
      </c>
      <c r="F143" s="11" t="inlineStr">
        <is>
          <t>-</t>
        </is>
      </c>
      <c r="G143" s="11" t="inlineStr">
        <is>
          <t>Through the EMS, Modbus TCP</t>
        </is>
      </c>
      <c r="H143" s="11" t="inlineStr">
        <is>
          <t>1</t>
        </is>
      </c>
      <c r="I143" s="11" t="inlineStr">
        <is>
          <t>On</t>
        </is>
      </c>
      <c r="J143" s="11" t="inlineStr">
        <is>
          <t>-</t>
        </is>
      </c>
      <c r="K143" s="11" t="inlineStr">
        <is>
          <t>Added rev 1. As above</t>
        </is>
      </c>
    </row>
    <row r="144">
      <c r="A144" s="11" t="inlineStr">
        <is>
          <t>DG1-U-L1</t>
        </is>
      </c>
      <c r="B144" s="11" t="inlineStr">
        <is>
          <t>Generator controller DG1</t>
        </is>
      </c>
      <c r="C144" s="11" t="inlineStr">
        <is>
          <t>Voltage L1, L2, L3 (3 points)</t>
        </is>
      </c>
      <c r="D144" s="11" t="inlineStr">
        <is>
          <t>Read</t>
        </is>
      </c>
      <c r="E144" s="11" t="inlineStr">
        <is>
          <t>Measured</t>
        </is>
      </c>
      <c r="F144" s="11" t="inlineStr">
        <is>
          <t>V</t>
        </is>
      </c>
      <c r="G144" s="11" t="inlineStr">
        <is>
          <t>Modbus TCP or RTU</t>
        </is>
      </c>
      <c r="H144" s="11" t="inlineStr">
        <is>
          <t>-</t>
        </is>
      </c>
      <c r="I144" s="11" t="inlineStr">
        <is>
          <t>-</t>
        </is>
      </c>
      <c r="J144" s="11" t="inlineStr">
        <is>
          <t>-</t>
        </is>
      </c>
      <c r="K144" s="11" t="n"/>
    </row>
    <row r="145">
      <c r="A145" s="11" t="inlineStr">
        <is>
          <t>DG1-U-L2</t>
        </is>
      </c>
      <c r="B145" s="11" t="inlineStr">
        <is>
          <t>Generator controller DG1</t>
        </is>
      </c>
      <c r="C145" s="11" t="inlineStr">
        <is>
          <t>Voltage L1, L2, L3 (3 points)</t>
        </is>
      </c>
      <c r="D145" s="11" t="inlineStr">
        <is>
          <t>Read</t>
        </is>
      </c>
      <c r="E145" s="11" t="inlineStr">
        <is>
          <t>Measured</t>
        </is>
      </c>
      <c r="F145" s="11" t="inlineStr">
        <is>
          <t>V</t>
        </is>
      </c>
      <c r="G145" s="11" t="inlineStr">
        <is>
          <t>Modbus TCP or RTU</t>
        </is>
      </c>
      <c r="H145" s="11" t="inlineStr">
        <is>
          <t>-</t>
        </is>
      </c>
      <c r="I145" s="11" t="inlineStr">
        <is>
          <t>-</t>
        </is>
      </c>
      <c r="J145" s="11" t="inlineStr">
        <is>
          <t>-</t>
        </is>
      </c>
      <c r="K145" s="11" t="n"/>
    </row>
    <row r="146">
      <c r="A146" s="11" t="inlineStr">
        <is>
          <t>DG1-U-L3</t>
        </is>
      </c>
      <c r="B146" s="11" t="inlineStr">
        <is>
          <t>Generator controller DG1</t>
        </is>
      </c>
      <c r="C146" s="11" t="inlineStr">
        <is>
          <t>Voltage L1, L2, L3 (3 points)</t>
        </is>
      </c>
      <c r="D146" s="11" t="inlineStr">
        <is>
          <t>Read</t>
        </is>
      </c>
      <c r="E146" s="11" t="inlineStr">
        <is>
          <t>Measured</t>
        </is>
      </c>
      <c r="F146" s="11" t="inlineStr">
        <is>
          <t>V</t>
        </is>
      </c>
      <c r="G146" s="11" t="inlineStr">
        <is>
          <t>Modbus TCP or RTU</t>
        </is>
      </c>
      <c r="H146" s="11" t="inlineStr">
        <is>
          <t>-</t>
        </is>
      </c>
      <c r="I146" s="11" t="inlineStr">
        <is>
          <t>-</t>
        </is>
      </c>
      <c r="J146" s="11" t="inlineStr">
        <is>
          <t>-</t>
        </is>
      </c>
      <c r="K146" s="11" t="n"/>
    </row>
    <row r="147">
      <c r="A147" s="11" t="inlineStr">
        <is>
          <t>DG1-I-L1</t>
        </is>
      </c>
      <c r="B147" s="11" t="inlineStr">
        <is>
          <t>Generator controller DG1</t>
        </is>
      </c>
      <c r="C147" s="11" t="inlineStr">
        <is>
          <t>Current L1, L2, L3 (3 points)</t>
        </is>
      </c>
      <c r="D147" s="11" t="inlineStr">
        <is>
          <t>Read</t>
        </is>
      </c>
      <c r="E147" s="11" t="inlineStr">
        <is>
          <t>Measured</t>
        </is>
      </c>
      <c r="F147" s="11" t="inlineStr">
        <is>
          <t>A</t>
        </is>
      </c>
      <c r="G147" s="11" t="inlineStr">
        <is>
          <t>Modbus TCP or RTU</t>
        </is>
      </c>
      <c r="H147" s="11" t="inlineStr">
        <is>
          <t>-</t>
        </is>
      </c>
      <c r="I147" s="11" t="inlineStr">
        <is>
          <t>-</t>
        </is>
      </c>
      <c r="J147" s="11" t="inlineStr">
        <is>
          <t>-</t>
        </is>
      </c>
      <c r="K147" s="11" t="n"/>
    </row>
    <row r="148">
      <c r="A148" s="11" t="inlineStr">
        <is>
          <t>DG1-I-L2</t>
        </is>
      </c>
      <c r="B148" s="11" t="inlineStr">
        <is>
          <t>Generator controller DG1</t>
        </is>
      </c>
      <c r="C148" s="11" t="inlineStr">
        <is>
          <t>Current L1, L2, L3 (3 points)</t>
        </is>
      </c>
      <c r="D148" s="11" t="inlineStr">
        <is>
          <t>Read</t>
        </is>
      </c>
      <c r="E148" s="11" t="inlineStr">
        <is>
          <t>Measured</t>
        </is>
      </c>
      <c r="F148" s="11" t="inlineStr">
        <is>
          <t>A</t>
        </is>
      </c>
      <c r="G148" s="11" t="inlineStr">
        <is>
          <t>Modbus TCP or RTU</t>
        </is>
      </c>
      <c r="H148" s="11" t="inlineStr">
        <is>
          <t>-</t>
        </is>
      </c>
      <c r="I148" s="11" t="inlineStr">
        <is>
          <t>-</t>
        </is>
      </c>
      <c r="J148" s="11" t="inlineStr">
        <is>
          <t>-</t>
        </is>
      </c>
      <c r="K148" s="11" t="n"/>
    </row>
    <row r="149">
      <c r="A149" s="11" t="inlineStr">
        <is>
          <t>DG1-I-L3</t>
        </is>
      </c>
      <c r="B149" s="11" t="inlineStr">
        <is>
          <t>Generator controller DG1</t>
        </is>
      </c>
      <c r="C149" s="11" t="inlineStr">
        <is>
          <t>Current L1, L2, L3 (3 points)</t>
        </is>
      </c>
      <c r="D149" s="11" t="inlineStr">
        <is>
          <t>Read</t>
        </is>
      </c>
      <c r="E149" s="11" t="inlineStr">
        <is>
          <t>Measured</t>
        </is>
      </c>
      <c r="F149" s="11" t="inlineStr">
        <is>
          <t>A</t>
        </is>
      </c>
      <c r="G149" s="11" t="inlineStr">
        <is>
          <t>Modbus TCP or RTU</t>
        </is>
      </c>
      <c r="H149" s="11" t="inlineStr">
        <is>
          <t>-</t>
        </is>
      </c>
      <c r="I149" s="11" t="inlineStr">
        <is>
          <t>-</t>
        </is>
      </c>
      <c r="J149" s="11" t="inlineStr">
        <is>
          <t>-</t>
        </is>
      </c>
      <c r="K149" s="11" t="n"/>
    </row>
    <row r="150">
      <c r="A150" s="11" t="inlineStr">
        <is>
          <t>DG1-P</t>
        </is>
      </c>
      <c r="B150" s="11" t="inlineStr">
        <is>
          <t>Generator controller DG1</t>
        </is>
      </c>
      <c r="C150" s="11" t="inlineStr">
        <is>
          <t>Active power</t>
        </is>
      </c>
      <c r="D150" s="11" t="inlineStr">
        <is>
          <t>Read</t>
        </is>
      </c>
      <c r="E150" s="11" t="inlineStr">
        <is>
          <t>Measured</t>
        </is>
      </c>
      <c r="F150" s="11" t="inlineStr">
        <is>
          <t>kW</t>
        </is>
      </c>
      <c r="G150" s="11" t="inlineStr">
        <is>
          <t>Modbus TCP or RTU</t>
        </is>
      </c>
      <c r="H150" s="11" t="inlineStr">
        <is>
          <t>-</t>
        </is>
      </c>
      <c r="I150" s="11" t="inlineStr">
        <is>
          <t>-</t>
        </is>
      </c>
      <c r="J150" s="11" t="inlineStr">
        <is>
          <t>-</t>
        </is>
      </c>
      <c r="K150" s="11" t="n"/>
    </row>
    <row r="151">
      <c r="A151" s="11" t="inlineStr">
        <is>
          <t>DG1-Q</t>
        </is>
      </c>
      <c r="B151" s="11" t="inlineStr">
        <is>
          <t>Generator controller DG1</t>
        </is>
      </c>
      <c r="C151" s="11" t="inlineStr">
        <is>
          <t>Reactive power</t>
        </is>
      </c>
      <c r="D151" s="11" t="inlineStr">
        <is>
          <t>Read</t>
        </is>
      </c>
      <c r="E151" s="11" t="inlineStr">
        <is>
          <t>Measured</t>
        </is>
      </c>
      <c r="F151" s="11" t="inlineStr">
        <is>
          <t>kvar</t>
        </is>
      </c>
      <c r="G151" s="11" t="inlineStr">
        <is>
          <t>Modbus TCP or RTU</t>
        </is>
      </c>
      <c r="H151" s="11" t="inlineStr">
        <is>
          <t>-</t>
        </is>
      </c>
      <c r="I151" s="11" t="inlineStr">
        <is>
          <t>-</t>
        </is>
      </c>
      <c r="J151" s="11" t="inlineStr">
        <is>
          <t>-</t>
        </is>
      </c>
      <c r="K151" s="11" t="n"/>
    </row>
    <row r="152">
      <c r="A152" s="11" t="inlineStr">
        <is>
          <t>DG1-PF</t>
        </is>
      </c>
      <c r="B152" s="11" t="inlineStr">
        <is>
          <t>Generator controller DG1</t>
        </is>
      </c>
      <c r="C152" s="11" t="inlineStr">
        <is>
          <t>Power factor</t>
        </is>
      </c>
      <c r="D152" s="11" t="inlineStr">
        <is>
          <t>Read</t>
        </is>
      </c>
      <c r="E152" s="11" t="inlineStr">
        <is>
          <t>Measured</t>
        </is>
      </c>
      <c r="F152" s="11" t="inlineStr">
        <is>
          <t>-</t>
        </is>
      </c>
      <c r="G152" s="11" t="inlineStr">
        <is>
          <t>Modbus TCP or RTU</t>
        </is>
      </c>
      <c r="H152" s="11" t="inlineStr">
        <is>
          <t>-</t>
        </is>
      </c>
      <c r="I152" s="11" t="inlineStr">
        <is>
          <t>-</t>
        </is>
      </c>
      <c r="J152" s="11" t="inlineStr">
        <is>
          <t>-</t>
        </is>
      </c>
      <c r="K152" s="11" t="n"/>
    </row>
    <row r="153">
      <c r="A153" s="11" t="inlineStr">
        <is>
          <t>DG1-F</t>
        </is>
      </c>
      <c r="B153" s="11" t="inlineStr">
        <is>
          <t>Generator controller DG1</t>
        </is>
      </c>
      <c r="C153" s="11" t="inlineStr">
        <is>
          <t>Frequency</t>
        </is>
      </c>
      <c r="D153" s="11" t="inlineStr">
        <is>
          <t>Read</t>
        </is>
      </c>
      <c r="E153" s="11" t="inlineStr">
        <is>
          <t>Measured</t>
        </is>
      </c>
      <c r="F153" s="11" t="inlineStr">
        <is>
          <t>Hz</t>
        </is>
      </c>
      <c r="G153" s="11" t="inlineStr">
        <is>
          <t>Modbus TCP or RTU</t>
        </is>
      </c>
      <c r="H153" s="11" t="inlineStr">
        <is>
          <t>-</t>
        </is>
      </c>
      <c r="I153" s="11" t="inlineStr">
        <is>
          <t>-</t>
        </is>
      </c>
      <c r="J153" s="11" t="inlineStr">
        <is>
          <t>-</t>
        </is>
      </c>
      <c r="K153" s="11" t="n"/>
    </row>
    <row r="154">
      <c r="A154" s="11" t="inlineStr">
        <is>
          <t>DG1-OIL-P</t>
        </is>
      </c>
      <c r="B154" s="11" t="inlineStr">
        <is>
          <t>Generator controller DG1</t>
        </is>
      </c>
      <c r="C154" s="11" t="inlineStr">
        <is>
          <t>Oil pressure</t>
        </is>
      </c>
      <c r="D154" s="11" t="inlineStr">
        <is>
          <t>Read</t>
        </is>
      </c>
      <c r="E154" s="11" t="inlineStr">
        <is>
          <t>Measured</t>
        </is>
      </c>
      <c r="F154" s="11" t="inlineStr">
        <is>
          <t>kPa</t>
        </is>
      </c>
      <c r="G154" s="11" t="inlineStr">
        <is>
          <t>Modbus TCP or RTU</t>
        </is>
      </c>
      <c r="H154" s="11" t="inlineStr">
        <is>
          <t>-</t>
        </is>
      </c>
      <c r="I154" s="11" t="inlineStr">
        <is>
          <t>-</t>
        </is>
      </c>
      <c r="J154" s="11" t="inlineStr">
        <is>
          <t>-</t>
        </is>
      </c>
      <c r="K154" s="11" t="n"/>
    </row>
    <row r="155">
      <c r="A155" s="11" t="inlineStr">
        <is>
          <t>DG1-COOL-T</t>
        </is>
      </c>
      <c r="B155" s="11" t="inlineStr">
        <is>
          <t>Generator controller DG1</t>
        </is>
      </c>
      <c r="C155" s="11" t="inlineStr">
        <is>
          <t>Coolant temperature</t>
        </is>
      </c>
      <c r="D155" s="11" t="inlineStr">
        <is>
          <t>Read</t>
        </is>
      </c>
      <c r="E155" s="11" t="inlineStr">
        <is>
          <t>Measured</t>
        </is>
      </c>
      <c r="F155" s="11" t="inlineStr">
        <is>
          <t>deg C</t>
        </is>
      </c>
      <c r="G155" s="11" t="inlineStr">
        <is>
          <t>Modbus TCP or RTU</t>
        </is>
      </c>
      <c r="H155" s="11" t="inlineStr">
        <is>
          <t>-</t>
        </is>
      </c>
      <c r="I155" s="11" t="inlineStr">
        <is>
          <t>-</t>
        </is>
      </c>
      <c r="J155" s="11" t="inlineStr">
        <is>
          <t>-</t>
        </is>
      </c>
      <c r="K155" s="11" t="n"/>
    </row>
    <row r="156">
      <c r="A156" s="11" t="inlineStr">
        <is>
          <t>DG1-BATT-U</t>
        </is>
      </c>
      <c r="B156" s="11" t="inlineStr">
        <is>
          <t>Generator controller DG1</t>
        </is>
      </c>
      <c r="C156" s="11" t="inlineStr">
        <is>
          <t>Starter battery voltage</t>
        </is>
      </c>
      <c r="D156" s="11" t="inlineStr">
        <is>
          <t>Read</t>
        </is>
      </c>
      <c r="E156" s="11" t="inlineStr">
        <is>
          <t>Measured</t>
        </is>
      </c>
      <c r="F156" s="11" t="inlineStr">
        <is>
          <t>V</t>
        </is>
      </c>
      <c r="G156" s="11" t="inlineStr">
        <is>
          <t>Modbus TCP or RTU</t>
        </is>
      </c>
      <c r="H156" s="11" t="inlineStr">
        <is>
          <t>-</t>
        </is>
      </c>
      <c r="I156" s="11" t="inlineStr">
        <is>
          <t>-</t>
        </is>
      </c>
      <c r="J156" s="11" t="inlineStr">
        <is>
          <t>-</t>
        </is>
      </c>
      <c r="K156" s="11" t="n"/>
    </row>
    <row r="157">
      <c r="A157" s="11" t="inlineStr">
        <is>
          <t>DG1-FUEL-COM</t>
        </is>
      </c>
      <c r="B157" s="11" t="inlineStr">
        <is>
          <t>Generator controller DG1</t>
        </is>
      </c>
      <c r="C157" s="11" t="inlineStr">
        <is>
          <t>Fuel level</t>
        </is>
      </c>
      <c r="D157" s="11" t="inlineStr">
        <is>
          <t>Read</t>
        </is>
      </c>
      <c r="E157" s="11" t="inlineStr">
        <is>
          <t>Measured</t>
        </is>
      </c>
      <c r="F157" s="11" t="inlineStr">
        <is>
          <t>%</t>
        </is>
      </c>
      <c r="G157" s="11" t="inlineStr">
        <is>
          <t>Modbus TCP or RTU</t>
        </is>
      </c>
      <c r="H157" s="11" t="inlineStr">
        <is>
          <t>-</t>
        </is>
      </c>
      <c r="I157" s="11" t="inlineStr">
        <is>
          <t>-</t>
        </is>
      </c>
      <c r="J157" s="11" t="inlineStr">
        <is>
          <t>-</t>
        </is>
      </c>
      <c r="K157" s="11" t="inlineStr">
        <is>
          <t>Communicated copy of hardwired signal DG1-FUEL</t>
        </is>
      </c>
    </row>
    <row r="158">
      <c r="A158" s="11" t="inlineStr">
        <is>
          <t>DG1-HOURS</t>
        </is>
      </c>
      <c r="B158" s="11" t="inlineStr">
        <is>
          <t>Generator controller DG1</t>
        </is>
      </c>
      <c r="C158" s="11" t="inlineStr">
        <is>
          <t>Running hours</t>
        </is>
      </c>
      <c r="D158" s="11" t="inlineStr">
        <is>
          <t>Read</t>
        </is>
      </c>
      <c r="E158" s="11" t="inlineStr">
        <is>
          <t>Counter</t>
        </is>
      </c>
      <c r="F158" s="11" t="inlineStr">
        <is>
          <t>h</t>
        </is>
      </c>
      <c r="G158" s="11" t="inlineStr">
        <is>
          <t>Modbus TCP or RTU</t>
        </is>
      </c>
      <c r="H158" s="11" t="inlineStr">
        <is>
          <t>-</t>
        </is>
      </c>
      <c r="I158" s="11" t="inlineStr">
        <is>
          <t>-</t>
        </is>
      </c>
      <c r="J158" s="11" t="inlineStr">
        <is>
          <t>-</t>
        </is>
      </c>
      <c r="K158" s="11" t="n"/>
    </row>
    <row r="159">
      <c r="A159" s="11" t="inlineStr">
        <is>
          <t>DG1-STARTS</t>
        </is>
      </c>
      <c r="B159" s="11" t="inlineStr">
        <is>
          <t>Generator controller DG1</t>
        </is>
      </c>
      <c r="C159" s="11" t="inlineStr">
        <is>
          <t>Number of starts</t>
        </is>
      </c>
      <c r="D159" s="11" t="inlineStr">
        <is>
          <t>Read</t>
        </is>
      </c>
      <c r="E159" s="11" t="inlineStr">
        <is>
          <t>Counter</t>
        </is>
      </c>
      <c r="F159" s="11" t="inlineStr">
        <is>
          <t>-</t>
        </is>
      </c>
      <c r="G159" s="11" t="inlineStr">
        <is>
          <t>Modbus TCP or RTU</t>
        </is>
      </c>
      <c r="H159" s="11" t="inlineStr">
        <is>
          <t>-</t>
        </is>
      </c>
      <c r="I159" s="11" t="inlineStr">
        <is>
          <t>-</t>
        </is>
      </c>
      <c r="J159" s="11" t="inlineStr">
        <is>
          <t>-</t>
        </is>
      </c>
      <c r="K159" s="11" t="n"/>
    </row>
    <row r="160">
      <c r="A160" s="11" t="inlineStr">
        <is>
          <t>DG1-E-TOT</t>
        </is>
      </c>
      <c r="B160" s="11" t="inlineStr">
        <is>
          <t>Generator controller DG1</t>
        </is>
      </c>
      <c r="C160" s="11" t="inlineStr">
        <is>
          <t>Energy total</t>
        </is>
      </c>
      <c r="D160" s="11" t="inlineStr">
        <is>
          <t>Read</t>
        </is>
      </c>
      <c r="E160" s="11" t="inlineStr">
        <is>
          <t>Counter</t>
        </is>
      </c>
      <c r="F160" s="11" t="inlineStr">
        <is>
          <t>MWh</t>
        </is>
      </c>
      <c r="G160" s="11" t="inlineStr">
        <is>
          <t>Modbus TCP or RTU</t>
        </is>
      </c>
      <c r="H160" s="11" t="inlineStr">
        <is>
          <t>-</t>
        </is>
      </c>
      <c r="I160" s="11" t="inlineStr">
        <is>
          <t>-</t>
        </is>
      </c>
      <c r="J160" s="11" t="inlineStr">
        <is>
          <t>-</t>
        </is>
      </c>
      <c r="K160" s="11" t="n"/>
    </row>
    <row r="161">
      <c r="A161" s="11" t="inlineStr">
        <is>
          <t>DG1-MODE</t>
        </is>
      </c>
      <c r="B161" s="11" t="inlineStr">
        <is>
          <t>Generator controller DG1</t>
        </is>
      </c>
      <c r="C161" s="11" t="inlineStr">
        <is>
          <t>Controller mode</t>
        </is>
      </c>
      <c r="D161" s="11" t="inlineStr">
        <is>
          <t>Read</t>
        </is>
      </c>
      <c r="E161" s="11" t="inlineStr">
        <is>
          <t>Status</t>
        </is>
      </c>
      <c r="F161" s="11" t="inlineStr">
        <is>
          <t>-</t>
        </is>
      </c>
      <c r="G161" s="11" t="inlineStr">
        <is>
          <t>Modbus TCP or RTU</t>
        </is>
      </c>
      <c r="H161" s="11" t="inlineStr">
        <is>
          <t>Status</t>
        </is>
      </c>
      <c r="I161" s="11" t="inlineStr">
        <is>
          <t>-</t>
        </is>
      </c>
      <c r="J161" s="11" t="inlineStr">
        <is>
          <t>-</t>
        </is>
      </c>
      <c r="K161" s="11" t="n"/>
    </row>
    <row r="162">
      <c r="A162" s="11" t="inlineStr">
        <is>
          <t>DG1-GCB</t>
        </is>
      </c>
      <c r="B162" s="11" t="inlineStr">
        <is>
          <t>Generator controller DG1</t>
        </is>
      </c>
      <c r="C162" s="11" t="inlineStr">
        <is>
          <t>Breaker status</t>
        </is>
      </c>
      <c r="D162" s="11" t="inlineStr">
        <is>
          <t>Read</t>
        </is>
      </c>
      <c r="E162" s="11" t="inlineStr">
        <is>
          <t>Status</t>
        </is>
      </c>
      <c r="F162" s="11" t="inlineStr">
        <is>
          <t>-</t>
        </is>
      </c>
      <c r="G162" s="11" t="inlineStr">
        <is>
          <t>Modbus TCP or RTU</t>
        </is>
      </c>
      <c r="H162" s="11" t="inlineStr">
        <is>
          <t>Status</t>
        </is>
      </c>
      <c r="I162" s="11" t="inlineStr">
        <is>
          <t>-</t>
        </is>
      </c>
      <c r="J162" s="11" t="inlineStr">
        <is>
          <t>-</t>
        </is>
      </c>
      <c r="K162" s="11" t="n"/>
    </row>
    <row r="163">
      <c r="A163" s="11" t="inlineStr">
        <is>
          <t>DG1-WARN</t>
        </is>
      </c>
      <c r="B163" s="11" t="inlineStr">
        <is>
          <t>Generator controller DG1</t>
        </is>
      </c>
      <c r="C163" s="11" t="inlineStr">
        <is>
          <t>Warning</t>
        </is>
      </c>
      <c r="D163" s="11" t="inlineStr">
        <is>
          <t>Read</t>
        </is>
      </c>
      <c r="E163" s="11" t="inlineStr">
        <is>
          <t>Status</t>
        </is>
      </c>
      <c r="F163" s="11" t="inlineStr">
        <is>
          <t>-</t>
        </is>
      </c>
      <c r="G163" s="11" t="inlineStr">
        <is>
          <t>Modbus TCP or RTU</t>
        </is>
      </c>
      <c r="H163" s="11" t="inlineStr">
        <is>
          <t>3</t>
        </is>
      </c>
      <c r="I163" s="11" t="inlineStr">
        <is>
          <t>On</t>
        </is>
      </c>
      <c r="J163" s="11" t="inlineStr">
        <is>
          <t>-</t>
        </is>
      </c>
      <c r="K163" s="11" t="n"/>
    </row>
    <row r="164">
      <c r="A164" s="11" t="inlineStr">
        <is>
          <t>DG1-SHUTDOWN</t>
        </is>
      </c>
      <c r="B164" s="11" t="inlineStr">
        <is>
          <t>Generator controller DG1</t>
        </is>
      </c>
      <c r="C164" s="11" t="inlineStr">
        <is>
          <t>Shutdown alarm</t>
        </is>
      </c>
      <c r="D164" s="11" t="inlineStr">
        <is>
          <t>Read</t>
        </is>
      </c>
      <c r="E164" s="11" t="inlineStr">
        <is>
          <t>Status</t>
        </is>
      </c>
      <c r="F164" s="11" t="inlineStr">
        <is>
          <t>-</t>
        </is>
      </c>
      <c r="G164" s="11" t="inlineStr">
        <is>
          <t>Modbus TCP or RTU</t>
        </is>
      </c>
      <c r="H164" s="11" t="inlineStr">
        <is>
          <t>1</t>
        </is>
      </c>
      <c r="I164" s="11" t="inlineStr">
        <is>
          <t>On</t>
        </is>
      </c>
      <c r="J164" s="11" t="inlineStr">
        <is>
          <t>-</t>
        </is>
      </c>
      <c r="K164" s="11" t="n"/>
    </row>
    <row r="165">
      <c r="A165" s="11" t="inlineStr">
        <is>
          <t>DG1-START-CMD</t>
        </is>
      </c>
      <c r="B165" s="11" t="inlineStr">
        <is>
          <t>Generator controller DG1</t>
        </is>
      </c>
      <c r="C165" s="11" t="inlineStr">
        <is>
          <t>Start</t>
        </is>
      </c>
      <c r="D165" s="11" t="inlineStr">
        <is>
          <t>Write</t>
        </is>
      </c>
      <c r="E165" s="11" t="inlineStr">
        <is>
          <t>Command</t>
        </is>
      </c>
      <c r="F165" s="11" t="inlineStr">
        <is>
          <t>-</t>
        </is>
      </c>
      <c r="G165" s="11" t="inlineStr">
        <is>
          <t>Modbus TCP or RTU</t>
        </is>
      </c>
      <c r="H165" s="11" t="inlineStr">
        <is>
          <t>-</t>
        </is>
      </c>
      <c r="I165" s="11" t="inlineStr">
        <is>
          <t>-</t>
        </is>
      </c>
      <c r="J165" s="11" t="inlineStr">
        <is>
          <t>Operator</t>
        </is>
      </c>
      <c r="K165" s="11" t="inlineStr">
        <is>
          <t>Only in manual mode</t>
        </is>
      </c>
    </row>
    <row r="166">
      <c r="A166" s="11" t="inlineStr">
        <is>
          <t>DG1-STOP-CMD</t>
        </is>
      </c>
      <c r="B166" s="11" t="inlineStr">
        <is>
          <t>Generator controller DG1</t>
        </is>
      </c>
      <c r="C166" s="11" t="inlineStr">
        <is>
          <t>Stop</t>
        </is>
      </c>
      <c r="D166" s="11" t="inlineStr">
        <is>
          <t>Write</t>
        </is>
      </c>
      <c r="E166" s="11" t="inlineStr">
        <is>
          <t>Command</t>
        </is>
      </c>
      <c r="F166" s="11" t="inlineStr">
        <is>
          <t>-</t>
        </is>
      </c>
      <c r="G166" s="11" t="inlineStr">
        <is>
          <t>Modbus TCP or RTU</t>
        </is>
      </c>
      <c r="H166" s="11" t="inlineStr">
        <is>
          <t>-</t>
        </is>
      </c>
      <c r="I166" s="11" t="inlineStr">
        <is>
          <t>-</t>
        </is>
      </c>
      <c r="J166" s="11" t="inlineStr">
        <is>
          <t>Operator</t>
        </is>
      </c>
      <c r="K166" s="11" t="inlineStr">
        <is>
          <t>Only in manual mode</t>
        </is>
      </c>
    </row>
    <row r="167">
      <c r="A167" s="11" t="inlineStr">
        <is>
          <t>DG1-MODE-CMD</t>
        </is>
      </c>
      <c r="B167" s="11" t="inlineStr">
        <is>
          <t>Generator controller DG1</t>
        </is>
      </c>
      <c r="C167" s="11" t="inlineStr">
        <is>
          <t>Mode auto / manual</t>
        </is>
      </c>
      <c r="D167" s="11" t="inlineStr">
        <is>
          <t>Write</t>
        </is>
      </c>
      <c r="E167" s="11" t="inlineStr">
        <is>
          <t>Command</t>
        </is>
      </c>
      <c r="F167" s="11" t="inlineStr">
        <is>
          <t>-</t>
        </is>
      </c>
      <c r="G167" s="11" t="inlineStr">
        <is>
          <t>Modbus TCP or RTU</t>
        </is>
      </c>
      <c r="H167" s="11" t="inlineStr">
        <is>
          <t>-</t>
        </is>
      </c>
      <c r="I167" s="11" t="inlineStr">
        <is>
          <t>-</t>
        </is>
      </c>
      <c r="J167" s="11" t="inlineStr">
        <is>
          <t>Admin</t>
        </is>
      </c>
      <c r="K167" s="11" t="n"/>
    </row>
    <row r="168">
      <c r="A168" s="11" t="inlineStr">
        <is>
          <t>DG2-U-L1</t>
        </is>
      </c>
      <c r="B168" s="11" t="inlineStr">
        <is>
          <t>Generator controller DG2</t>
        </is>
      </c>
      <c r="C168" s="11" t="inlineStr">
        <is>
          <t>Voltage L1, L2, L3 (3 points)</t>
        </is>
      </c>
      <c r="D168" s="11" t="inlineStr">
        <is>
          <t>Read</t>
        </is>
      </c>
      <c r="E168" s="11" t="inlineStr">
        <is>
          <t>Measured</t>
        </is>
      </c>
      <c r="F168" s="11" t="inlineStr">
        <is>
          <t>V</t>
        </is>
      </c>
      <c r="G168" s="11" t="inlineStr">
        <is>
          <t>Modbus TCP or RTU</t>
        </is>
      </c>
      <c r="H168" s="11" t="inlineStr">
        <is>
          <t>-</t>
        </is>
      </c>
      <c r="I168" s="11" t="inlineStr">
        <is>
          <t>-</t>
        </is>
      </c>
      <c r="J168" s="11" t="inlineStr">
        <is>
          <t>-</t>
        </is>
      </c>
      <c r="K168" s="11" t="n"/>
    </row>
    <row r="169">
      <c r="A169" s="11" t="inlineStr">
        <is>
          <t>DG2-U-L2</t>
        </is>
      </c>
      <c r="B169" s="11" t="inlineStr">
        <is>
          <t>Generator controller DG2</t>
        </is>
      </c>
      <c r="C169" s="11" t="inlineStr">
        <is>
          <t>Voltage L1, L2, L3 (3 points)</t>
        </is>
      </c>
      <c r="D169" s="11" t="inlineStr">
        <is>
          <t>Read</t>
        </is>
      </c>
      <c r="E169" s="11" t="inlineStr">
        <is>
          <t>Measured</t>
        </is>
      </c>
      <c r="F169" s="11" t="inlineStr">
        <is>
          <t>V</t>
        </is>
      </c>
      <c r="G169" s="11" t="inlineStr">
        <is>
          <t>Modbus TCP or RTU</t>
        </is>
      </c>
      <c r="H169" s="11" t="inlineStr">
        <is>
          <t>-</t>
        </is>
      </c>
      <c r="I169" s="11" t="inlineStr">
        <is>
          <t>-</t>
        </is>
      </c>
      <c r="J169" s="11" t="inlineStr">
        <is>
          <t>-</t>
        </is>
      </c>
      <c r="K169" s="11" t="n"/>
    </row>
    <row r="170">
      <c r="A170" s="11" t="inlineStr">
        <is>
          <t>DG2-U-L3</t>
        </is>
      </c>
      <c r="B170" s="11" t="inlineStr">
        <is>
          <t>Generator controller DG2</t>
        </is>
      </c>
      <c r="C170" s="11" t="inlineStr">
        <is>
          <t>Voltage L1, L2, L3 (3 points)</t>
        </is>
      </c>
      <c r="D170" s="11" t="inlineStr">
        <is>
          <t>Read</t>
        </is>
      </c>
      <c r="E170" s="11" t="inlineStr">
        <is>
          <t>Measured</t>
        </is>
      </c>
      <c r="F170" s="11" t="inlineStr">
        <is>
          <t>V</t>
        </is>
      </c>
      <c r="G170" s="11" t="inlineStr">
        <is>
          <t>Modbus TCP or RTU</t>
        </is>
      </c>
      <c r="H170" s="11" t="inlineStr">
        <is>
          <t>-</t>
        </is>
      </c>
      <c r="I170" s="11" t="inlineStr">
        <is>
          <t>-</t>
        </is>
      </c>
      <c r="J170" s="11" t="inlineStr">
        <is>
          <t>-</t>
        </is>
      </c>
      <c r="K170" s="11" t="n"/>
    </row>
    <row r="171">
      <c r="A171" s="11" t="inlineStr">
        <is>
          <t>DG2-I-L1</t>
        </is>
      </c>
      <c r="B171" s="11" t="inlineStr">
        <is>
          <t>Generator controller DG2</t>
        </is>
      </c>
      <c r="C171" s="11" t="inlineStr">
        <is>
          <t>Current L1, L2, L3 (3 points)</t>
        </is>
      </c>
      <c r="D171" s="11" t="inlineStr">
        <is>
          <t>Read</t>
        </is>
      </c>
      <c r="E171" s="11" t="inlineStr">
        <is>
          <t>Measured</t>
        </is>
      </c>
      <c r="F171" s="11" t="inlineStr">
        <is>
          <t>A</t>
        </is>
      </c>
      <c r="G171" s="11" t="inlineStr">
        <is>
          <t>Modbus TCP or RTU</t>
        </is>
      </c>
      <c r="H171" s="11" t="inlineStr">
        <is>
          <t>-</t>
        </is>
      </c>
      <c r="I171" s="11" t="inlineStr">
        <is>
          <t>-</t>
        </is>
      </c>
      <c r="J171" s="11" t="inlineStr">
        <is>
          <t>-</t>
        </is>
      </c>
      <c r="K171" s="11" t="n"/>
    </row>
    <row r="172">
      <c r="A172" s="11" t="inlineStr">
        <is>
          <t>DG2-I-L2</t>
        </is>
      </c>
      <c r="B172" s="11" t="inlineStr">
        <is>
          <t>Generator controller DG2</t>
        </is>
      </c>
      <c r="C172" s="11" t="inlineStr">
        <is>
          <t>Current L1, L2, L3 (3 points)</t>
        </is>
      </c>
      <c r="D172" s="11" t="inlineStr">
        <is>
          <t>Read</t>
        </is>
      </c>
      <c r="E172" s="11" t="inlineStr">
        <is>
          <t>Measured</t>
        </is>
      </c>
      <c r="F172" s="11" t="inlineStr">
        <is>
          <t>A</t>
        </is>
      </c>
      <c r="G172" s="11" t="inlineStr">
        <is>
          <t>Modbus TCP or RTU</t>
        </is>
      </c>
      <c r="H172" s="11" t="inlineStr">
        <is>
          <t>-</t>
        </is>
      </c>
      <c r="I172" s="11" t="inlineStr">
        <is>
          <t>-</t>
        </is>
      </c>
      <c r="J172" s="11" t="inlineStr">
        <is>
          <t>-</t>
        </is>
      </c>
      <c r="K172" s="11" t="n"/>
    </row>
    <row r="173">
      <c r="A173" s="11" t="inlineStr">
        <is>
          <t>DG2-I-L3</t>
        </is>
      </c>
      <c r="B173" s="11" t="inlineStr">
        <is>
          <t>Generator controller DG2</t>
        </is>
      </c>
      <c r="C173" s="11" t="inlineStr">
        <is>
          <t>Current L1, L2, L3 (3 points)</t>
        </is>
      </c>
      <c r="D173" s="11" t="inlineStr">
        <is>
          <t>Read</t>
        </is>
      </c>
      <c r="E173" s="11" t="inlineStr">
        <is>
          <t>Measured</t>
        </is>
      </c>
      <c r="F173" s="11" t="inlineStr">
        <is>
          <t>A</t>
        </is>
      </c>
      <c r="G173" s="11" t="inlineStr">
        <is>
          <t>Modbus TCP or RTU</t>
        </is>
      </c>
      <c r="H173" s="11" t="inlineStr">
        <is>
          <t>-</t>
        </is>
      </c>
      <c r="I173" s="11" t="inlineStr">
        <is>
          <t>-</t>
        </is>
      </c>
      <c r="J173" s="11" t="inlineStr">
        <is>
          <t>-</t>
        </is>
      </c>
      <c r="K173" s="11" t="n"/>
    </row>
    <row r="174">
      <c r="A174" s="11" t="inlineStr">
        <is>
          <t>DG2-P</t>
        </is>
      </c>
      <c r="B174" s="11" t="inlineStr">
        <is>
          <t>Generator controller DG2</t>
        </is>
      </c>
      <c r="C174" s="11" t="inlineStr">
        <is>
          <t>Active power</t>
        </is>
      </c>
      <c r="D174" s="11" t="inlineStr">
        <is>
          <t>Read</t>
        </is>
      </c>
      <c r="E174" s="11" t="inlineStr">
        <is>
          <t>Measured</t>
        </is>
      </c>
      <c r="F174" s="11" t="inlineStr">
        <is>
          <t>kW</t>
        </is>
      </c>
      <c r="G174" s="11" t="inlineStr">
        <is>
          <t>Modbus TCP or RTU</t>
        </is>
      </c>
      <c r="H174" s="11" t="inlineStr">
        <is>
          <t>-</t>
        </is>
      </c>
      <c r="I174" s="11" t="inlineStr">
        <is>
          <t>-</t>
        </is>
      </c>
      <c r="J174" s="11" t="inlineStr">
        <is>
          <t>-</t>
        </is>
      </c>
      <c r="K174" s="11" t="n"/>
    </row>
    <row r="175">
      <c r="A175" s="11" t="inlineStr">
        <is>
          <t>DG2-Q</t>
        </is>
      </c>
      <c r="B175" s="11" t="inlineStr">
        <is>
          <t>Generator controller DG2</t>
        </is>
      </c>
      <c r="C175" s="11" t="inlineStr">
        <is>
          <t>Reactive power</t>
        </is>
      </c>
      <c r="D175" s="11" t="inlineStr">
        <is>
          <t>Read</t>
        </is>
      </c>
      <c r="E175" s="11" t="inlineStr">
        <is>
          <t>Measured</t>
        </is>
      </c>
      <c r="F175" s="11" t="inlineStr">
        <is>
          <t>kvar</t>
        </is>
      </c>
      <c r="G175" s="11" t="inlineStr">
        <is>
          <t>Modbus TCP or RTU</t>
        </is>
      </c>
      <c r="H175" s="11" t="inlineStr">
        <is>
          <t>-</t>
        </is>
      </c>
      <c r="I175" s="11" t="inlineStr">
        <is>
          <t>-</t>
        </is>
      </c>
      <c r="J175" s="11" t="inlineStr">
        <is>
          <t>-</t>
        </is>
      </c>
      <c r="K175" s="11" t="n"/>
    </row>
    <row r="176">
      <c r="A176" s="11" t="inlineStr">
        <is>
          <t>DG2-PF</t>
        </is>
      </c>
      <c r="B176" s="11" t="inlineStr">
        <is>
          <t>Generator controller DG2</t>
        </is>
      </c>
      <c r="C176" s="11" t="inlineStr">
        <is>
          <t>Power factor</t>
        </is>
      </c>
      <c r="D176" s="11" t="inlineStr">
        <is>
          <t>Read</t>
        </is>
      </c>
      <c r="E176" s="11" t="inlineStr">
        <is>
          <t>Measured</t>
        </is>
      </c>
      <c r="F176" s="11" t="inlineStr">
        <is>
          <t>-</t>
        </is>
      </c>
      <c r="G176" s="11" t="inlineStr">
        <is>
          <t>Modbus TCP or RTU</t>
        </is>
      </c>
      <c r="H176" s="11" t="inlineStr">
        <is>
          <t>-</t>
        </is>
      </c>
      <c r="I176" s="11" t="inlineStr">
        <is>
          <t>-</t>
        </is>
      </c>
      <c r="J176" s="11" t="inlineStr">
        <is>
          <t>-</t>
        </is>
      </c>
      <c r="K176" s="11" t="n"/>
    </row>
    <row r="177">
      <c r="A177" s="11" t="inlineStr">
        <is>
          <t>DG2-F</t>
        </is>
      </c>
      <c r="B177" s="11" t="inlineStr">
        <is>
          <t>Generator controller DG2</t>
        </is>
      </c>
      <c r="C177" s="11" t="inlineStr">
        <is>
          <t>Frequency</t>
        </is>
      </c>
      <c r="D177" s="11" t="inlineStr">
        <is>
          <t>Read</t>
        </is>
      </c>
      <c r="E177" s="11" t="inlineStr">
        <is>
          <t>Measured</t>
        </is>
      </c>
      <c r="F177" s="11" t="inlineStr">
        <is>
          <t>Hz</t>
        </is>
      </c>
      <c r="G177" s="11" t="inlineStr">
        <is>
          <t>Modbus TCP or RTU</t>
        </is>
      </c>
      <c r="H177" s="11" t="inlineStr">
        <is>
          <t>-</t>
        </is>
      </c>
      <c r="I177" s="11" t="inlineStr">
        <is>
          <t>-</t>
        </is>
      </c>
      <c r="J177" s="11" t="inlineStr">
        <is>
          <t>-</t>
        </is>
      </c>
      <c r="K177" s="11" t="n"/>
    </row>
    <row r="178">
      <c r="A178" s="11" t="inlineStr">
        <is>
          <t>DG2-OIL-P</t>
        </is>
      </c>
      <c r="B178" s="11" t="inlineStr">
        <is>
          <t>Generator controller DG2</t>
        </is>
      </c>
      <c r="C178" s="11" t="inlineStr">
        <is>
          <t>Oil pressure</t>
        </is>
      </c>
      <c r="D178" s="11" t="inlineStr">
        <is>
          <t>Read</t>
        </is>
      </c>
      <c r="E178" s="11" t="inlineStr">
        <is>
          <t>Measured</t>
        </is>
      </c>
      <c r="F178" s="11" t="inlineStr">
        <is>
          <t>kPa</t>
        </is>
      </c>
      <c r="G178" s="11" t="inlineStr">
        <is>
          <t>Modbus TCP or RTU</t>
        </is>
      </c>
      <c r="H178" s="11" t="inlineStr">
        <is>
          <t>-</t>
        </is>
      </c>
      <c r="I178" s="11" t="inlineStr">
        <is>
          <t>-</t>
        </is>
      </c>
      <c r="J178" s="11" t="inlineStr">
        <is>
          <t>-</t>
        </is>
      </c>
      <c r="K178" s="11" t="n"/>
    </row>
    <row r="179">
      <c r="A179" s="11" t="inlineStr">
        <is>
          <t>DG2-COOL-T</t>
        </is>
      </c>
      <c r="B179" s="11" t="inlineStr">
        <is>
          <t>Generator controller DG2</t>
        </is>
      </c>
      <c r="C179" s="11" t="inlineStr">
        <is>
          <t>Coolant temperature</t>
        </is>
      </c>
      <c r="D179" s="11" t="inlineStr">
        <is>
          <t>Read</t>
        </is>
      </c>
      <c r="E179" s="11" t="inlineStr">
        <is>
          <t>Measured</t>
        </is>
      </c>
      <c r="F179" s="11" t="inlineStr">
        <is>
          <t>deg C</t>
        </is>
      </c>
      <c r="G179" s="11" t="inlineStr">
        <is>
          <t>Modbus TCP or RTU</t>
        </is>
      </c>
      <c r="H179" s="11" t="inlineStr">
        <is>
          <t>-</t>
        </is>
      </c>
      <c r="I179" s="11" t="inlineStr">
        <is>
          <t>-</t>
        </is>
      </c>
      <c r="J179" s="11" t="inlineStr">
        <is>
          <t>-</t>
        </is>
      </c>
      <c r="K179" s="11" t="n"/>
    </row>
    <row r="180">
      <c r="A180" s="11" t="inlineStr">
        <is>
          <t>DG2-BATT-U</t>
        </is>
      </c>
      <c r="B180" s="11" t="inlineStr">
        <is>
          <t>Generator controller DG2</t>
        </is>
      </c>
      <c r="C180" s="11" t="inlineStr">
        <is>
          <t>Starter battery voltage</t>
        </is>
      </c>
      <c r="D180" s="11" t="inlineStr">
        <is>
          <t>Read</t>
        </is>
      </c>
      <c r="E180" s="11" t="inlineStr">
        <is>
          <t>Measured</t>
        </is>
      </c>
      <c r="F180" s="11" t="inlineStr">
        <is>
          <t>V</t>
        </is>
      </c>
      <c r="G180" s="11" t="inlineStr">
        <is>
          <t>Modbus TCP or RTU</t>
        </is>
      </c>
      <c r="H180" s="11" t="inlineStr">
        <is>
          <t>-</t>
        </is>
      </c>
      <c r="I180" s="11" t="inlineStr">
        <is>
          <t>-</t>
        </is>
      </c>
      <c r="J180" s="11" t="inlineStr">
        <is>
          <t>-</t>
        </is>
      </c>
      <c r="K180" s="11" t="n"/>
    </row>
    <row r="181">
      <c r="A181" s="11" t="inlineStr">
        <is>
          <t>DG2-FUEL-COM</t>
        </is>
      </c>
      <c r="B181" s="11" t="inlineStr">
        <is>
          <t>Generator controller DG2</t>
        </is>
      </c>
      <c r="C181" s="11" t="inlineStr">
        <is>
          <t>Fuel level</t>
        </is>
      </c>
      <c r="D181" s="11" t="inlineStr">
        <is>
          <t>Read</t>
        </is>
      </c>
      <c r="E181" s="11" t="inlineStr">
        <is>
          <t>Measured</t>
        </is>
      </c>
      <c r="F181" s="11" t="inlineStr">
        <is>
          <t>%</t>
        </is>
      </c>
      <c r="G181" s="11" t="inlineStr">
        <is>
          <t>Modbus TCP or RTU</t>
        </is>
      </c>
      <c r="H181" s="11" t="inlineStr">
        <is>
          <t>-</t>
        </is>
      </c>
      <c r="I181" s="11" t="inlineStr">
        <is>
          <t>-</t>
        </is>
      </c>
      <c r="J181" s="11" t="inlineStr">
        <is>
          <t>-</t>
        </is>
      </c>
      <c r="K181" s="11" t="inlineStr">
        <is>
          <t>Communicated copy of hardwired signal DG2-FUEL</t>
        </is>
      </c>
    </row>
    <row r="182">
      <c r="A182" s="11" t="inlineStr">
        <is>
          <t>DG2-HOURS</t>
        </is>
      </c>
      <c r="B182" s="11" t="inlineStr">
        <is>
          <t>Generator controller DG2</t>
        </is>
      </c>
      <c r="C182" s="11" t="inlineStr">
        <is>
          <t>Running hours</t>
        </is>
      </c>
      <c r="D182" s="11" t="inlineStr">
        <is>
          <t>Read</t>
        </is>
      </c>
      <c r="E182" s="11" t="inlineStr">
        <is>
          <t>Counter</t>
        </is>
      </c>
      <c r="F182" s="11" t="inlineStr">
        <is>
          <t>h</t>
        </is>
      </c>
      <c r="G182" s="11" t="inlineStr">
        <is>
          <t>Modbus TCP or RTU</t>
        </is>
      </c>
      <c r="H182" s="11" t="inlineStr">
        <is>
          <t>-</t>
        </is>
      </c>
      <c r="I182" s="11" t="inlineStr">
        <is>
          <t>-</t>
        </is>
      </c>
      <c r="J182" s="11" t="inlineStr">
        <is>
          <t>-</t>
        </is>
      </c>
      <c r="K182" s="11" t="n"/>
    </row>
    <row r="183">
      <c r="A183" s="11" t="inlineStr">
        <is>
          <t>DG2-STARTS</t>
        </is>
      </c>
      <c r="B183" s="11" t="inlineStr">
        <is>
          <t>Generator controller DG2</t>
        </is>
      </c>
      <c r="C183" s="11" t="inlineStr">
        <is>
          <t>Number of starts</t>
        </is>
      </c>
      <c r="D183" s="11" t="inlineStr">
        <is>
          <t>Read</t>
        </is>
      </c>
      <c r="E183" s="11" t="inlineStr">
        <is>
          <t>Counter</t>
        </is>
      </c>
      <c r="F183" s="11" t="inlineStr">
        <is>
          <t>-</t>
        </is>
      </c>
      <c r="G183" s="11" t="inlineStr">
        <is>
          <t>Modbus TCP or RTU</t>
        </is>
      </c>
      <c r="H183" s="11" t="inlineStr">
        <is>
          <t>-</t>
        </is>
      </c>
      <c r="I183" s="11" t="inlineStr">
        <is>
          <t>-</t>
        </is>
      </c>
      <c r="J183" s="11" t="inlineStr">
        <is>
          <t>-</t>
        </is>
      </c>
      <c r="K183" s="11" t="n"/>
    </row>
    <row r="184">
      <c r="A184" s="11" t="inlineStr">
        <is>
          <t>DG2-E-TOT</t>
        </is>
      </c>
      <c r="B184" s="11" t="inlineStr">
        <is>
          <t>Generator controller DG2</t>
        </is>
      </c>
      <c r="C184" s="11" t="inlineStr">
        <is>
          <t>Energy total</t>
        </is>
      </c>
      <c r="D184" s="11" t="inlineStr">
        <is>
          <t>Read</t>
        </is>
      </c>
      <c r="E184" s="11" t="inlineStr">
        <is>
          <t>Counter</t>
        </is>
      </c>
      <c r="F184" s="11" t="inlineStr">
        <is>
          <t>MWh</t>
        </is>
      </c>
      <c r="G184" s="11" t="inlineStr">
        <is>
          <t>Modbus TCP or RTU</t>
        </is>
      </c>
      <c r="H184" s="11" t="inlineStr">
        <is>
          <t>-</t>
        </is>
      </c>
      <c r="I184" s="11" t="inlineStr">
        <is>
          <t>-</t>
        </is>
      </c>
      <c r="J184" s="11" t="inlineStr">
        <is>
          <t>-</t>
        </is>
      </c>
      <c r="K184" s="11" t="n"/>
    </row>
    <row r="185">
      <c r="A185" s="11" t="inlineStr">
        <is>
          <t>DG2-MODE</t>
        </is>
      </c>
      <c r="B185" s="11" t="inlineStr">
        <is>
          <t>Generator controller DG2</t>
        </is>
      </c>
      <c r="C185" s="11" t="inlineStr">
        <is>
          <t>Controller mode</t>
        </is>
      </c>
      <c r="D185" s="11" t="inlineStr">
        <is>
          <t>Read</t>
        </is>
      </c>
      <c r="E185" s="11" t="inlineStr">
        <is>
          <t>Status</t>
        </is>
      </c>
      <c r="F185" s="11" t="inlineStr">
        <is>
          <t>-</t>
        </is>
      </c>
      <c r="G185" s="11" t="inlineStr">
        <is>
          <t>Modbus TCP or RTU</t>
        </is>
      </c>
      <c r="H185" s="11" t="inlineStr">
        <is>
          <t>Status</t>
        </is>
      </c>
      <c r="I185" s="11" t="inlineStr">
        <is>
          <t>-</t>
        </is>
      </c>
      <c r="J185" s="11" t="inlineStr">
        <is>
          <t>-</t>
        </is>
      </c>
      <c r="K185" s="11" t="n"/>
    </row>
    <row r="186">
      <c r="A186" s="11" t="inlineStr">
        <is>
          <t>DG2-GCB</t>
        </is>
      </c>
      <c r="B186" s="11" t="inlineStr">
        <is>
          <t>Generator controller DG2</t>
        </is>
      </c>
      <c r="C186" s="11" t="inlineStr">
        <is>
          <t>Breaker status</t>
        </is>
      </c>
      <c r="D186" s="11" t="inlineStr">
        <is>
          <t>Read</t>
        </is>
      </c>
      <c r="E186" s="11" t="inlineStr">
        <is>
          <t>Status</t>
        </is>
      </c>
      <c r="F186" s="11" t="inlineStr">
        <is>
          <t>-</t>
        </is>
      </c>
      <c r="G186" s="11" t="inlineStr">
        <is>
          <t>Modbus TCP or RTU</t>
        </is>
      </c>
      <c r="H186" s="11" t="inlineStr">
        <is>
          <t>Status</t>
        </is>
      </c>
      <c r="I186" s="11" t="inlineStr">
        <is>
          <t>-</t>
        </is>
      </c>
      <c r="J186" s="11" t="inlineStr">
        <is>
          <t>-</t>
        </is>
      </c>
      <c r="K186" s="11" t="n"/>
    </row>
    <row r="187">
      <c r="A187" s="11" t="inlineStr">
        <is>
          <t>DG2-WARN</t>
        </is>
      </c>
      <c r="B187" s="11" t="inlineStr">
        <is>
          <t>Generator controller DG2</t>
        </is>
      </c>
      <c r="C187" s="11" t="inlineStr">
        <is>
          <t>Warning</t>
        </is>
      </c>
      <c r="D187" s="11" t="inlineStr">
        <is>
          <t>Read</t>
        </is>
      </c>
      <c r="E187" s="11" t="inlineStr">
        <is>
          <t>Status</t>
        </is>
      </c>
      <c r="F187" s="11" t="inlineStr">
        <is>
          <t>-</t>
        </is>
      </c>
      <c r="G187" s="11" t="inlineStr">
        <is>
          <t>Modbus TCP or RTU</t>
        </is>
      </c>
      <c r="H187" s="11" t="inlineStr">
        <is>
          <t>3</t>
        </is>
      </c>
      <c r="I187" s="11" t="inlineStr">
        <is>
          <t>On</t>
        </is>
      </c>
      <c r="J187" s="11" t="inlineStr">
        <is>
          <t>-</t>
        </is>
      </c>
      <c r="K187" s="11" t="n"/>
    </row>
    <row r="188">
      <c r="A188" s="11" t="inlineStr">
        <is>
          <t>DG2-SHUTDOWN</t>
        </is>
      </c>
      <c r="B188" s="11" t="inlineStr">
        <is>
          <t>Generator controller DG2</t>
        </is>
      </c>
      <c r="C188" s="11" t="inlineStr">
        <is>
          <t>Shutdown alarm</t>
        </is>
      </c>
      <c r="D188" s="11" t="inlineStr">
        <is>
          <t>Read</t>
        </is>
      </c>
      <c r="E188" s="11" t="inlineStr">
        <is>
          <t>Status</t>
        </is>
      </c>
      <c r="F188" s="11" t="inlineStr">
        <is>
          <t>-</t>
        </is>
      </c>
      <c r="G188" s="11" t="inlineStr">
        <is>
          <t>Modbus TCP or RTU</t>
        </is>
      </c>
      <c r="H188" s="11" t="inlineStr">
        <is>
          <t>1</t>
        </is>
      </c>
      <c r="I188" s="11" t="inlineStr">
        <is>
          <t>On</t>
        </is>
      </c>
      <c r="J188" s="11" t="inlineStr">
        <is>
          <t>-</t>
        </is>
      </c>
      <c r="K188" s="11" t="n"/>
    </row>
    <row r="189">
      <c r="A189" s="11" t="inlineStr">
        <is>
          <t>DG2-START-CMD</t>
        </is>
      </c>
      <c r="B189" s="11" t="inlineStr">
        <is>
          <t>Generator controller DG2</t>
        </is>
      </c>
      <c r="C189" s="11" t="inlineStr">
        <is>
          <t>Start</t>
        </is>
      </c>
      <c r="D189" s="11" t="inlineStr">
        <is>
          <t>Write</t>
        </is>
      </c>
      <c r="E189" s="11" t="inlineStr">
        <is>
          <t>Command</t>
        </is>
      </c>
      <c r="F189" s="11" t="inlineStr">
        <is>
          <t>-</t>
        </is>
      </c>
      <c r="G189" s="11" t="inlineStr">
        <is>
          <t>Modbus TCP or RTU</t>
        </is>
      </c>
      <c r="H189" s="11" t="inlineStr">
        <is>
          <t>-</t>
        </is>
      </c>
      <c r="I189" s="11" t="inlineStr">
        <is>
          <t>-</t>
        </is>
      </c>
      <c r="J189" s="11" t="inlineStr">
        <is>
          <t>Operator</t>
        </is>
      </c>
      <c r="K189" s="11" t="inlineStr">
        <is>
          <t>Only in manual mode</t>
        </is>
      </c>
    </row>
    <row r="190">
      <c r="A190" s="11" t="inlineStr">
        <is>
          <t>DG2-STOP-CMD</t>
        </is>
      </c>
      <c r="B190" s="11" t="inlineStr">
        <is>
          <t>Generator controller DG2</t>
        </is>
      </c>
      <c r="C190" s="11" t="inlineStr">
        <is>
          <t>Stop</t>
        </is>
      </c>
      <c r="D190" s="11" t="inlineStr">
        <is>
          <t>Write</t>
        </is>
      </c>
      <c r="E190" s="11" t="inlineStr">
        <is>
          <t>Command</t>
        </is>
      </c>
      <c r="F190" s="11" t="inlineStr">
        <is>
          <t>-</t>
        </is>
      </c>
      <c r="G190" s="11" t="inlineStr">
        <is>
          <t>Modbus TCP or RTU</t>
        </is>
      </c>
      <c r="H190" s="11" t="inlineStr">
        <is>
          <t>-</t>
        </is>
      </c>
      <c r="I190" s="11" t="inlineStr">
        <is>
          <t>-</t>
        </is>
      </c>
      <c r="J190" s="11" t="inlineStr">
        <is>
          <t>Operator</t>
        </is>
      </c>
      <c r="K190" s="11" t="inlineStr">
        <is>
          <t>Only in manual mode</t>
        </is>
      </c>
    </row>
    <row r="191">
      <c r="A191" s="11" t="inlineStr">
        <is>
          <t>DG2-MODE-CMD</t>
        </is>
      </c>
      <c r="B191" s="11" t="inlineStr">
        <is>
          <t>Generator controller DG2</t>
        </is>
      </c>
      <c r="C191" s="11" t="inlineStr">
        <is>
          <t>Mode auto / manual</t>
        </is>
      </c>
      <c r="D191" s="11" t="inlineStr">
        <is>
          <t>Write</t>
        </is>
      </c>
      <c r="E191" s="11" t="inlineStr">
        <is>
          <t>Command</t>
        </is>
      </c>
      <c r="F191" s="11" t="inlineStr">
        <is>
          <t>-</t>
        </is>
      </c>
      <c r="G191" s="11" t="inlineStr">
        <is>
          <t>Modbus TCP or RTU</t>
        </is>
      </c>
      <c r="H191" s="11" t="inlineStr">
        <is>
          <t>-</t>
        </is>
      </c>
      <c r="I191" s="11" t="inlineStr">
        <is>
          <t>-</t>
        </is>
      </c>
      <c r="J191" s="11" t="inlineStr">
        <is>
          <t>Admin</t>
        </is>
      </c>
      <c r="K191" s="11" t="n"/>
    </row>
    <row r="192">
      <c r="A192" s="11" t="inlineStr">
        <is>
          <t>AH1-I-L1</t>
        </is>
      </c>
      <c r="B192" s="11" t="inlineStr">
        <is>
          <t>11 kV protection relay AH1</t>
        </is>
      </c>
      <c r="C192" s="11" t="inlineStr">
        <is>
          <t>Phase current L1, L2, L3 (3 points)</t>
        </is>
      </c>
      <c r="D192" s="11" t="inlineStr">
        <is>
          <t>Read</t>
        </is>
      </c>
      <c r="E192" s="11" t="inlineStr">
        <is>
          <t>Measured</t>
        </is>
      </c>
      <c r="F192" s="11" t="inlineStr">
        <is>
          <t>A</t>
        </is>
      </c>
      <c r="G192" s="11" t="inlineStr">
        <is>
          <t>IEC 61850 or Modbus TCP</t>
        </is>
      </c>
      <c r="H192" s="11" t="inlineStr">
        <is>
          <t>-</t>
        </is>
      </c>
      <c r="I192" s="11" t="inlineStr">
        <is>
          <t>-</t>
        </is>
      </c>
      <c r="J192" s="11" t="inlineStr">
        <is>
          <t>-</t>
        </is>
      </c>
      <c r="K192" s="11" t="n"/>
    </row>
    <row r="193">
      <c r="A193" s="11" t="inlineStr">
        <is>
          <t>AH1-I-L2</t>
        </is>
      </c>
      <c r="B193" s="11" t="inlineStr">
        <is>
          <t>11 kV protection relay AH1</t>
        </is>
      </c>
      <c r="C193" s="11" t="inlineStr">
        <is>
          <t>Phase current L1, L2, L3 (3 points)</t>
        </is>
      </c>
      <c r="D193" s="11" t="inlineStr">
        <is>
          <t>Read</t>
        </is>
      </c>
      <c r="E193" s="11" t="inlineStr">
        <is>
          <t>Measured</t>
        </is>
      </c>
      <c r="F193" s="11" t="inlineStr">
        <is>
          <t>A</t>
        </is>
      </c>
      <c r="G193" s="11" t="inlineStr">
        <is>
          <t>IEC 61850 or Modbus TCP</t>
        </is>
      </c>
      <c r="H193" s="11" t="inlineStr">
        <is>
          <t>-</t>
        </is>
      </c>
      <c r="I193" s="11" t="inlineStr">
        <is>
          <t>-</t>
        </is>
      </c>
      <c r="J193" s="11" t="inlineStr">
        <is>
          <t>-</t>
        </is>
      </c>
      <c r="K193" s="11" t="n"/>
    </row>
    <row r="194">
      <c r="A194" s="11" t="inlineStr">
        <is>
          <t>AH1-I-L3</t>
        </is>
      </c>
      <c r="B194" s="11" t="inlineStr">
        <is>
          <t>11 kV protection relay AH1</t>
        </is>
      </c>
      <c r="C194" s="11" t="inlineStr">
        <is>
          <t>Phase current L1, L2, L3 (3 points)</t>
        </is>
      </c>
      <c r="D194" s="11" t="inlineStr">
        <is>
          <t>Read</t>
        </is>
      </c>
      <c r="E194" s="11" t="inlineStr">
        <is>
          <t>Measured</t>
        </is>
      </c>
      <c r="F194" s="11" t="inlineStr">
        <is>
          <t>A</t>
        </is>
      </c>
      <c r="G194" s="11" t="inlineStr">
        <is>
          <t>IEC 61850 or Modbus TCP</t>
        </is>
      </c>
      <c r="H194" s="11" t="inlineStr">
        <is>
          <t>-</t>
        </is>
      </c>
      <c r="I194" s="11" t="inlineStr">
        <is>
          <t>-</t>
        </is>
      </c>
      <c r="J194" s="11" t="inlineStr">
        <is>
          <t>-</t>
        </is>
      </c>
      <c r="K194" s="11" t="n"/>
    </row>
    <row r="195">
      <c r="A195" s="11" t="inlineStr">
        <is>
          <t>AH1-I-E</t>
        </is>
      </c>
      <c r="B195" s="11" t="inlineStr">
        <is>
          <t>11 kV protection relay AH1</t>
        </is>
      </c>
      <c r="C195" s="11" t="inlineStr">
        <is>
          <t>Earth current</t>
        </is>
      </c>
      <c r="D195" s="11" t="inlineStr">
        <is>
          <t>Read</t>
        </is>
      </c>
      <c r="E195" s="11" t="inlineStr">
        <is>
          <t>Measured</t>
        </is>
      </c>
      <c r="F195" s="11" t="inlineStr">
        <is>
          <t>A</t>
        </is>
      </c>
      <c r="G195" s="11" t="inlineStr">
        <is>
          <t>IEC 61850 or Modbus TCP</t>
        </is>
      </c>
      <c r="H195" s="11" t="inlineStr">
        <is>
          <t>-</t>
        </is>
      </c>
      <c r="I195" s="11" t="inlineStr">
        <is>
          <t>-</t>
        </is>
      </c>
      <c r="J195" s="11" t="inlineStr">
        <is>
          <t>-</t>
        </is>
      </c>
      <c r="K195" s="11" t="n"/>
    </row>
    <row r="196">
      <c r="A196" s="11" t="inlineStr">
        <is>
          <t>AH1-U-L1</t>
        </is>
      </c>
      <c r="B196" s="11" t="inlineStr">
        <is>
          <t>11 kV protection relay AH1</t>
        </is>
      </c>
      <c r="C196" s="11" t="inlineStr">
        <is>
          <t>Voltage L1, L2, L3 (3 points)</t>
        </is>
      </c>
      <c r="D196" s="11" t="inlineStr">
        <is>
          <t>Read</t>
        </is>
      </c>
      <c r="E196" s="11" t="inlineStr">
        <is>
          <t>Measured</t>
        </is>
      </c>
      <c r="F196" s="11" t="inlineStr">
        <is>
          <t>kV</t>
        </is>
      </c>
      <c r="G196" s="11" t="inlineStr">
        <is>
          <t>IEC 61850 or Modbus TCP</t>
        </is>
      </c>
      <c r="H196" s="11" t="inlineStr">
        <is>
          <t>-</t>
        </is>
      </c>
      <c r="I196" s="11" t="inlineStr">
        <is>
          <t>-</t>
        </is>
      </c>
      <c r="J196" s="11" t="inlineStr">
        <is>
          <t>-</t>
        </is>
      </c>
      <c r="K196" s="11" t="n"/>
    </row>
    <row r="197">
      <c r="A197" s="11" t="inlineStr">
        <is>
          <t>AH1-U-L2</t>
        </is>
      </c>
      <c r="B197" s="11" t="inlineStr">
        <is>
          <t>11 kV protection relay AH1</t>
        </is>
      </c>
      <c r="C197" s="11" t="inlineStr">
        <is>
          <t>Voltage L1, L2, L3 (3 points)</t>
        </is>
      </c>
      <c r="D197" s="11" t="inlineStr">
        <is>
          <t>Read</t>
        </is>
      </c>
      <c r="E197" s="11" t="inlineStr">
        <is>
          <t>Measured</t>
        </is>
      </c>
      <c r="F197" s="11" t="inlineStr">
        <is>
          <t>kV</t>
        </is>
      </c>
      <c r="G197" s="11" t="inlineStr">
        <is>
          <t>IEC 61850 or Modbus TCP</t>
        </is>
      </c>
      <c r="H197" s="11" t="inlineStr">
        <is>
          <t>-</t>
        </is>
      </c>
      <c r="I197" s="11" t="inlineStr">
        <is>
          <t>-</t>
        </is>
      </c>
      <c r="J197" s="11" t="inlineStr">
        <is>
          <t>-</t>
        </is>
      </c>
      <c r="K197" s="11" t="n"/>
    </row>
    <row r="198">
      <c r="A198" s="11" t="inlineStr">
        <is>
          <t>AH1-U-L3</t>
        </is>
      </c>
      <c r="B198" s="11" t="inlineStr">
        <is>
          <t>11 kV protection relay AH1</t>
        </is>
      </c>
      <c r="C198" s="11" t="inlineStr">
        <is>
          <t>Voltage L1, L2, L3 (3 points)</t>
        </is>
      </c>
      <c r="D198" s="11" t="inlineStr">
        <is>
          <t>Read</t>
        </is>
      </c>
      <c r="E198" s="11" t="inlineStr">
        <is>
          <t>Measured</t>
        </is>
      </c>
      <c r="F198" s="11" t="inlineStr">
        <is>
          <t>kV</t>
        </is>
      </c>
      <c r="G198" s="11" t="inlineStr">
        <is>
          <t>IEC 61850 or Modbus TCP</t>
        </is>
      </c>
      <c r="H198" s="11" t="inlineStr">
        <is>
          <t>-</t>
        </is>
      </c>
      <c r="I198" s="11" t="inlineStr">
        <is>
          <t>-</t>
        </is>
      </c>
      <c r="J198" s="11" t="inlineStr">
        <is>
          <t>-</t>
        </is>
      </c>
      <c r="K198" s="11" t="n"/>
    </row>
    <row r="199">
      <c r="A199" s="11" t="inlineStr">
        <is>
          <t>AH1-P</t>
        </is>
      </c>
      <c r="B199" s="11" t="inlineStr">
        <is>
          <t>11 kV protection relay AH1</t>
        </is>
      </c>
      <c r="C199" s="11" t="inlineStr">
        <is>
          <t>Active power</t>
        </is>
      </c>
      <c r="D199" s="11" t="inlineStr">
        <is>
          <t>Read</t>
        </is>
      </c>
      <c r="E199" s="11" t="inlineStr">
        <is>
          <t>Measured</t>
        </is>
      </c>
      <c r="F199" s="11" t="inlineStr">
        <is>
          <t>kW</t>
        </is>
      </c>
      <c r="G199" s="11" t="inlineStr">
        <is>
          <t>IEC 61850 or Modbus TCP</t>
        </is>
      </c>
      <c r="H199" s="11" t="inlineStr">
        <is>
          <t>-</t>
        </is>
      </c>
      <c r="I199" s="11" t="inlineStr">
        <is>
          <t>-</t>
        </is>
      </c>
      <c r="J199" s="11" t="inlineStr">
        <is>
          <t>-</t>
        </is>
      </c>
      <c r="K199" s="11" t="n"/>
    </row>
    <row r="200">
      <c r="A200" s="11" t="inlineStr">
        <is>
          <t>AH1-Q</t>
        </is>
      </c>
      <c r="B200" s="11" t="inlineStr">
        <is>
          <t>11 kV protection relay AH1</t>
        </is>
      </c>
      <c r="C200" s="11" t="inlineStr">
        <is>
          <t>Reactive power</t>
        </is>
      </c>
      <c r="D200" s="11" t="inlineStr">
        <is>
          <t>Read</t>
        </is>
      </c>
      <c r="E200" s="11" t="inlineStr">
        <is>
          <t>Measured</t>
        </is>
      </c>
      <c r="F200" s="11" t="inlineStr">
        <is>
          <t>kvar</t>
        </is>
      </c>
      <c r="G200" s="11" t="inlineStr">
        <is>
          <t>IEC 61850 or Modbus TCP</t>
        </is>
      </c>
      <c r="H200" s="11" t="inlineStr">
        <is>
          <t>-</t>
        </is>
      </c>
      <c r="I200" s="11" t="inlineStr">
        <is>
          <t>-</t>
        </is>
      </c>
      <c r="J200" s="11" t="inlineStr">
        <is>
          <t>-</t>
        </is>
      </c>
      <c r="K200" s="11" t="n"/>
    </row>
    <row r="201">
      <c r="A201" s="11" t="inlineStr">
        <is>
          <t>AH1-PF</t>
        </is>
      </c>
      <c r="B201" s="11" t="inlineStr">
        <is>
          <t>11 kV protection relay AH1</t>
        </is>
      </c>
      <c r="C201" s="11" t="inlineStr">
        <is>
          <t>Power factor</t>
        </is>
      </c>
      <c r="D201" s="11" t="inlineStr">
        <is>
          <t>Read</t>
        </is>
      </c>
      <c r="E201" s="11" t="inlineStr">
        <is>
          <t>Measured</t>
        </is>
      </c>
      <c r="F201" s="11" t="inlineStr">
        <is>
          <t>-</t>
        </is>
      </c>
      <c r="G201" s="11" t="inlineStr">
        <is>
          <t>IEC 61850 or Modbus TCP</t>
        </is>
      </c>
      <c r="H201" s="11" t="inlineStr">
        <is>
          <t>-</t>
        </is>
      </c>
      <c r="I201" s="11" t="inlineStr">
        <is>
          <t>-</t>
        </is>
      </c>
      <c r="J201" s="11" t="inlineStr">
        <is>
          <t>-</t>
        </is>
      </c>
      <c r="K201" s="11" t="n"/>
    </row>
    <row r="202">
      <c r="A202" s="11" t="inlineStr">
        <is>
          <t>AH1-F</t>
        </is>
      </c>
      <c r="B202" s="11" t="inlineStr">
        <is>
          <t>11 kV protection relay AH1</t>
        </is>
      </c>
      <c r="C202" s="11" t="inlineStr">
        <is>
          <t>Frequency</t>
        </is>
      </c>
      <c r="D202" s="11" t="inlineStr">
        <is>
          <t>Read</t>
        </is>
      </c>
      <c r="E202" s="11" t="inlineStr">
        <is>
          <t>Measured</t>
        </is>
      </c>
      <c r="F202" s="11" t="inlineStr">
        <is>
          <t>Hz</t>
        </is>
      </c>
      <c r="G202" s="11" t="inlineStr">
        <is>
          <t>IEC 61850 or Modbus TCP</t>
        </is>
      </c>
      <c r="H202" s="11" t="inlineStr">
        <is>
          <t>-</t>
        </is>
      </c>
      <c r="I202" s="11" t="inlineStr">
        <is>
          <t>-</t>
        </is>
      </c>
      <c r="J202" s="11" t="inlineStr">
        <is>
          <t>-</t>
        </is>
      </c>
      <c r="K202" s="11" t="n"/>
    </row>
    <row r="203">
      <c r="A203" s="11" t="inlineStr">
        <is>
          <t>AH1-E-IMP</t>
        </is>
      </c>
      <c r="B203" s="11" t="inlineStr">
        <is>
          <t>11 kV protection relay AH1</t>
        </is>
      </c>
      <c r="C203" s="11" t="inlineStr">
        <is>
          <t>Energy import</t>
        </is>
      </c>
      <c r="D203" s="11" t="inlineStr">
        <is>
          <t>Read</t>
        </is>
      </c>
      <c r="E203" s="11" t="inlineStr">
        <is>
          <t>Counter</t>
        </is>
      </c>
      <c r="F203" s="11" t="inlineStr">
        <is>
          <t>MWh</t>
        </is>
      </c>
      <c r="G203" s="11" t="inlineStr">
        <is>
          <t>IEC 61850 or Modbus TCP</t>
        </is>
      </c>
      <c r="H203" s="11" t="inlineStr">
        <is>
          <t>-</t>
        </is>
      </c>
      <c r="I203" s="11" t="inlineStr">
        <is>
          <t>-</t>
        </is>
      </c>
      <c r="J203" s="11" t="inlineStr">
        <is>
          <t>-</t>
        </is>
      </c>
      <c r="K203" s="11" t="n"/>
    </row>
    <row r="204">
      <c r="A204" s="11" t="inlineStr">
        <is>
          <t>AH1-E-EXP</t>
        </is>
      </c>
      <c r="B204" s="11" t="inlineStr">
        <is>
          <t>11 kV protection relay AH1</t>
        </is>
      </c>
      <c r="C204" s="11" t="inlineStr">
        <is>
          <t>Energy export</t>
        </is>
      </c>
      <c r="D204" s="11" t="inlineStr">
        <is>
          <t>Read</t>
        </is>
      </c>
      <c r="E204" s="11" t="inlineStr">
        <is>
          <t>Counter</t>
        </is>
      </c>
      <c r="F204" s="11" t="inlineStr">
        <is>
          <t>MWh</t>
        </is>
      </c>
      <c r="G204" s="11" t="inlineStr">
        <is>
          <t>IEC 61850 or Modbus TCP</t>
        </is>
      </c>
      <c r="H204" s="11" t="inlineStr">
        <is>
          <t>-</t>
        </is>
      </c>
      <c r="I204" s="11" t="inlineStr">
        <is>
          <t>-</t>
        </is>
      </c>
      <c r="J204" s="11" t="inlineStr">
        <is>
          <t>-</t>
        </is>
      </c>
      <c r="K204" s="11" t="n"/>
    </row>
    <row r="205">
      <c r="A205" s="11" t="inlineStr">
        <is>
          <t>AH1-CB-POS</t>
        </is>
      </c>
      <c r="B205" s="11" t="inlineStr">
        <is>
          <t>11 kV protection relay AH1</t>
        </is>
      </c>
      <c r="C205" s="11" t="inlineStr">
        <is>
          <t>Breaker position</t>
        </is>
      </c>
      <c r="D205" s="11" t="inlineStr">
        <is>
          <t>Read</t>
        </is>
      </c>
      <c r="E205" s="11" t="inlineStr">
        <is>
          <t>Double point</t>
        </is>
      </c>
      <c r="F205" s="11" t="inlineStr">
        <is>
          <t>-</t>
        </is>
      </c>
      <c r="G205" s="11" t="inlineStr">
        <is>
          <t>IEC 61850 or Modbus TCP</t>
        </is>
      </c>
      <c r="H205" s="11" t="inlineStr">
        <is>
          <t>Status</t>
        </is>
      </c>
      <c r="I205" s="11" t="inlineStr">
        <is>
          <t>-</t>
        </is>
      </c>
      <c r="J205" s="11" t="inlineStr">
        <is>
          <t>-</t>
        </is>
      </c>
      <c r="K205" s="11" t="n"/>
    </row>
    <row r="206">
      <c r="A206" s="11" t="inlineStr">
        <is>
          <t>AH1-TRIP-50</t>
        </is>
      </c>
      <c r="B206" s="11" t="inlineStr">
        <is>
          <t>11 kV protection relay AH1</t>
        </is>
      </c>
      <c r="C206" s="11" t="inlineStr">
        <is>
          <t>Overcurrent trip (50/51)</t>
        </is>
      </c>
      <c r="D206" s="11" t="inlineStr">
        <is>
          <t>Read</t>
        </is>
      </c>
      <c r="E206" s="11" t="inlineStr">
        <is>
          <t>Event</t>
        </is>
      </c>
      <c r="F206" s="11" t="inlineStr">
        <is>
          <t>-</t>
        </is>
      </c>
      <c r="G206" s="11" t="inlineStr">
        <is>
          <t>IEC 61850 or Modbus TCP</t>
        </is>
      </c>
      <c r="H206" s="11" t="inlineStr">
        <is>
          <t>1</t>
        </is>
      </c>
      <c r="I206" s="11" t="inlineStr">
        <is>
          <t>On</t>
        </is>
      </c>
      <c r="J206" s="11" t="inlineStr">
        <is>
          <t>-</t>
        </is>
      </c>
      <c r="K206" s="11" t="n"/>
    </row>
    <row r="207">
      <c r="A207" s="11" t="inlineStr">
        <is>
          <t>AH1-TRIP-50N</t>
        </is>
      </c>
      <c r="B207" s="11" t="inlineStr">
        <is>
          <t>11 kV protection relay AH1</t>
        </is>
      </c>
      <c r="C207" s="11" t="inlineStr">
        <is>
          <t>Earth fault trip (50N/51N)</t>
        </is>
      </c>
      <c r="D207" s="11" t="inlineStr">
        <is>
          <t>Read</t>
        </is>
      </c>
      <c r="E207" s="11" t="inlineStr">
        <is>
          <t>Event</t>
        </is>
      </c>
      <c r="F207" s="11" t="inlineStr">
        <is>
          <t>-</t>
        </is>
      </c>
      <c r="G207" s="11" t="inlineStr">
        <is>
          <t>IEC 61850 or Modbus TCP</t>
        </is>
      </c>
      <c r="H207" s="11" t="inlineStr">
        <is>
          <t>1</t>
        </is>
      </c>
      <c r="I207" s="11" t="inlineStr">
        <is>
          <t>On</t>
        </is>
      </c>
      <c r="J207" s="11" t="inlineStr">
        <is>
          <t>-</t>
        </is>
      </c>
      <c r="K207" s="11" t="n"/>
    </row>
    <row r="208">
      <c r="A208" s="11" t="inlineStr">
        <is>
          <t>AH1-TRIP-27-59</t>
        </is>
      </c>
      <c r="B208" s="11" t="inlineStr">
        <is>
          <t>11 kV protection relay AH1</t>
        </is>
      </c>
      <c r="C208" s="11" t="inlineStr">
        <is>
          <t>Under / overvoltage trip (27/59)</t>
        </is>
      </c>
      <c r="D208" s="11" t="inlineStr">
        <is>
          <t>Read</t>
        </is>
      </c>
      <c r="E208" s="11" t="inlineStr">
        <is>
          <t>Event</t>
        </is>
      </c>
      <c r="F208" s="11" t="inlineStr">
        <is>
          <t>-</t>
        </is>
      </c>
      <c r="G208" s="11" t="inlineStr">
        <is>
          <t>IEC 61850 or Modbus TCP</t>
        </is>
      </c>
      <c r="H208" s="11" t="inlineStr">
        <is>
          <t>1</t>
        </is>
      </c>
      <c r="I208" s="11" t="inlineStr">
        <is>
          <t>On</t>
        </is>
      </c>
      <c r="J208" s="11" t="inlineStr">
        <is>
          <t>-</t>
        </is>
      </c>
      <c r="K208" s="11" t="n"/>
    </row>
    <row r="209">
      <c r="A209" s="11" t="inlineStr">
        <is>
          <t>AH1-TRIP-81</t>
        </is>
      </c>
      <c r="B209" s="11" t="inlineStr">
        <is>
          <t>11 kV protection relay AH1</t>
        </is>
      </c>
      <c r="C209" s="11" t="inlineStr">
        <is>
          <t>Frequency trip (81)</t>
        </is>
      </c>
      <c r="D209" s="11" t="inlineStr">
        <is>
          <t>Read</t>
        </is>
      </c>
      <c r="E209" s="11" t="inlineStr">
        <is>
          <t>Event</t>
        </is>
      </c>
      <c r="F209" s="11" t="inlineStr">
        <is>
          <t>-</t>
        </is>
      </c>
      <c r="G209" s="11" t="inlineStr">
        <is>
          <t>IEC 61850 or Modbus TCP</t>
        </is>
      </c>
      <c r="H209" s="11" t="inlineStr">
        <is>
          <t>1</t>
        </is>
      </c>
      <c r="I209" s="11" t="inlineStr">
        <is>
          <t>On</t>
        </is>
      </c>
      <c r="J209" s="11" t="inlineStr">
        <is>
          <t>-</t>
        </is>
      </c>
      <c r="K209" s="11" t="n"/>
    </row>
    <row r="210">
      <c r="A210" s="11" t="inlineStr">
        <is>
          <t>AH1-RLY-HEALTHY</t>
        </is>
      </c>
      <c r="B210" s="11" t="inlineStr">
        <is>
          <t>11 kV protection relay AH1</t>
        </is>
      </c>
      <c r="C210" s="11" t="inlineStr">
        <is>
          <t>Relay healthy</t>
        </is>
      </c>
      <c r="D210" s="11" t="inlineStr">
        <is>
          <t>Read</t>
        </is>
      </c>
      <c r="E210" s="11" t="inlineStr">
        <is>
          <t>Status</t>
        </is>
      </c>
      <c r="F210" s="11" t="inlineStr">
        <is>
          <t>-</t>
        </is>
      </c>
      <c r="G210" s="11" t="inlineStr">
        <is>
          <t>IEC 61850 or Modbus TCP</t>
        </is>
      </c>
      <c r="H210" s="11" t="inlineStr">
        <is>
          <t>2</t>
        </is>
      </c>
      <c r="I210" s="11" t="inlineStr">
        <is>
          <t>Off</t>
        </is>
      </c>
      <c r="J210" s="11" t="inlineStr">
        <is>
          <t>-</t>
        </is>
      </c>
      <c r="K210" s="11" t="n"/>
    </row>
    <row r="211">
      <c r="A211" s="11" t="inlineStr">
        <is>
          <t>AH1-DREC</t>
        </is>
      </c>
      <c r="B211" s="11" t="inlineStr">
        <is>
          <t>11 kV protection relay AH1</t>
        </is>
      </c>
      <c r="C211" s="11" t="inlineStr">
        <is>
          <t>Disturbance record available</t>
        </is>
      </c>
      <c r="D211" s="11" t="inlineStr">
        <is>
          <t>Read</t>
        </is>
      </c>
      <c r="E211" s="11" t="inlineStr">
        <is>
          <t>Status</t>
        </is>
      </c>
      <c r="F211" s="11" t="inlineStr">
        <is>
          <t>-</t>
        </is>
      </c>
      <c r="G211" s="11" t="inlineStr">
        <is>
          <t>IEC 61850 or Modbus TCP</t>
        </is>
      </c>
      <c r="H211" s="11" t="inlineStr">
        <is>
          <t>3</t>
        </is>
      </c>
      <c r="I211" s="11" t="inlineStr">
        <is>
          <t>On</t>
        </is>
      </c>
      <c r="J211" s="11" t="inlineStr">
        <is>
          <t>-</t>
        </is>
      </c>
      <c r="K211" s="11" t="n"/>
    </row>
    <row r="212">
      <c r="A212" s="11" t="inlineStr">
        <is>
          <t>AH1-TCS-ALM</t>
        </is>
      </c>
      <c r="B212" s="11" t="inlineStr">
        <is>
          <t>11 kV protection relay AH1</t>
        </is>
      </c>
      <c r="C212" s="11" t="inlineStr">
        <is>
          <t>Trip circuit supervision alarm</t>
        </is>
      </c>
      <c r="D212" s="11" t="inlineStr">
        <is>
          <t>Read</t>
        </is>
      </c>
      <c r="E212" s="11" t="inlineStr">
        <is>
          <t>Status</t>
        </is>
      </c>
      <c r="F212" s="11" t="inlineStr">
        <is>
          <t>-</t>
        </is>
      </c>
      <c r="G212" s="11" t="inlineStr">
        <is>
          <t>IEC 61850 or Modbus TCP</t>
        </is>
      </c>
      <c r="H212" s="11" t="inlineStr">
        <is>
          <t>2</t>
        </is>
      </c>
      <c r="I212" s="11" t="inlineStr">
        <is>
          <t>On</t>
        </is>
      </c>
      <c r="J212" s="11" t="inlineStr">
        <is>
          <t>-</t>
        </is>
      </c>
      <c r="K212" s="11" t="inlineStr">
        <is>
          <t>Added rev 1</t>
        </is>
      </c>
    </row>
    <row r="213">
      <c r="A213" s="11" t="inlineStr">
        <is>
          <t>AH1-TRIP-51G</t>
        </is>
      </c>
      <c r="B213" s="11" t="inlineStr">
        <is>
          <t>11 kV protection relay AH1</t>
        </is>
      </c>
      <c r="C213" s="11" t="inlineStr">
        <is>
          <t>Sensitive earth fault trip (51G)</t>
        </is>
      </c>
      <c r="D213" s="11" t="inlineStr">
        <is>
          <t>Read</t>
        </is>
      </c>
      <c r="E213" s="11" t="inlineStr">
        <is>
          <t>Event</t>
        </is>
      </c>
      <c r="F213" s="11" t="inlineStr">
        <is>
          <t>-</t>
        </is>
      </c>
      <c r="G213" s="11" t="inlineStr">
        <is>
          <t>IEC 61850 or Modbus TCP</t>
        </is>
      </c>
      <c r="H213" s="11" t="inlineStr">
        <is>
          <t>1</t>
        </is>
      </c>
      <c r="I213" s="11" t="inlineStr">
        <is>
          <t>On</t>
        </is>
      </c>
      <c r="J213" s="11" t="inlineStr">
        <is>
          <t>-</t>
        </is>
      </c>
      <c r="K213" s="11" t="inlineStr">
        <is>
          <t>Added rev 1. Panels with a zero-sequence CT (all except AH5)</t>
        </is>
      </c>
    </row>
    <row r="214">
      <c r="A214" s="11" t="inlineStr">
        <is>
          <t>AH1-TRIP-32</t>
        </is>
      </c>
      <c r="B214" s="11" t="inlineStr">
        <is>
          <t>11 kV protection relay AH1</t>
        </is>
      </c>
      <c r="C214" s="11" t="inlineStr">
        <is>
          <t>Reverse power trip (32), AH1 generator incomer</t>
        </is>
      </c>
      <c r="D214" s="11" t="inlineStr">
        <is>
          <t>Read</t>
        </is>
      </c>
      <c r="E214" s="11" t="inlineStr">
        <is>
          <t>Event</t>
        </is>
      </c>
      <c r="F214" s="11" t="inlineStr">
        <is>
          <t>-</t>
        </is>
      </c>
      <c r="G214" s="11" t="inlineStr">
        <is>
          <t>IEC 61850 or Modbus TCP</t>
        </is>
      </c>
      <c r="H214" s="11" t="inlineStr">
        <is>
          <t>1</t>
        </is>
      </c>
      <c r="I214" s="11" t="inlineStr">
        <is>
          <t>On</t>
        </is>
      </c>
      <c r="J214" s="11" t="inlineStr">
        <is>
          <t>-</t>
        </is>
      </c>
      <c r="K214" s="11" t="inlineStr">
        <is>
          <t>Added rev 1. Protects the generators against reverse power from PV and battery</t>
        </is>
      </c>
    </row>
    <row r="215">
      <c r="A215" s="11" t="inlineStr">
        <is>
          <t>AH2-I-L1</t>
        </is>
      </c>
      <c r="B215" s="11" t="inlineStr">
        <is>
          <t>11 kV protection relay AH2</t>
        </is>
      </c>
      <c r="C215" s="11" t="inlineStr">
        <is>
          <t>Phase current L1, L2, L3 (3 points)</t>
        </is>
      </c>
      <c r="D215" s="11" t="inlineStr">
        <is>
          <t>Read</t>
        </is>
      </c>
      <c r="E215" s="11" t="inlineStr">
        <is>
          <t>Measured</t>
        </is>
      </c>
      <c r="F215" s="11" t="inlineStr">
        <is>
          <t>A</t>
        </is>
      </c>
      <c r="G215" s="11" t="inlineStr">
        <is>
          <t>IEC 61850 or Modbus TCP</t>
        </is>
      </c>
      <c r="H215" s="11" t="inlineStr">
        <is>
          <t>-</t>
        </is>
      </c>
      <c r="I215" s="11" t="inlineStr">
        <is>
          <t>-</t>
        </is>
      </c>
      <c r="J215" s="11" t="inlineStr">
        <is>
          <t>-</t>
        </is>
      </c>
      <c r="K215" s="11" t="n"/>
    </row>
    <row r="216">
      <c r="A216" s="11" t="inlineStr">
        <is>
          <t>AH2-I-L2</t>
        </is>
      </c>
      <c r="B216" s="11" t="inlineStr">
        <is>
          <t>11 kV protection relay AH2</t>
        </is>
      </c>
      <c r="C216" s="11" t="inlineStr">
        <is>
          <t>Phase current L1, L2, L3 (3 points)</t>
        </is>
      </c>
      <c r="D216" s="11" t="inlineStr">
        <is>
          <t>Read</t>
        </is>
      </c>
      <c r="E216" s="11" t="inlineStr">
        <is>
          <t>Measured</t>
        </is>
      </c>
      <c r="F216" s="11" t="inlineStr">
        <is>
          <t>A</t>
        </is>
      </c>
      <c r="G216" s="11" t="inlineStr">
        <is>
          <t>IEC 61850 or Modbus TCP</t>
        </is>
      </c>
      <c r="H216" s="11" t="inlineStr">
        <is>
          <t>-</t>
        </is>
      </c>
      <c r="I216" s="11" t="inlineStr">
        <is>
          <t>-</t>
        </is>
      </c>
      <c r="J216" s="11" t="inlineStr">
        <is>
          <t>-</t>
        </is>
      </c>
      <c r="K216" s="11" t="n"/>
    </row>
    <row r="217">
      <c r="A217" s="11" t="inlineStr">
        <is>
          <t>AH2-I-L3</t>
        </is>
      </c>
      <c r="B217" s="11" t="inlineStr">
        <is>
          <t>11 kV protection relay AH2</t>
        </is>
      </c>
      <c r="C217" s="11" t="inlineStr">
        <is>
          <t>Phase current L1, L2, L3 (3 points)</t>
        </is>
      </c>
      <c r="D217" s="11" t="inlineStr">
        <is>
          <t>Read</t>
        </is>
      </c>
      <c r="E217" s="11" t="inlineStr">
        <is>
          <t>Measured</t>
        </is>
      </c>
      <c r="F217" s="11" t="inlineStr">
        <is>
          <t>A</t>
        </is>
      </c>
      <c r="G217" s="11" t="inlineStr">
        <is>
          <t>IEC 61850 or Modbus TCP</t>
        </is>
      </c>
      <c r="H217" s="11" t="inlineStr">
        <is>
          <t>-</t>
        </is>
      </c>
      <c r="I217" s="11" t="inlineStr">
        <is>
          <t>-</t>
        </is>
      </c>
      <c r="J217" s="11" t="inlineStr">
        <is>
          <t>-</t>
        </is>
      </c>
      <c r="K217" s="11" t="n"/>
    </row>
    <row r="218">
      <c r="A218" s="11" t="inlineStr">
        <is>
          <t>AH2-I-E</t>
        </is>
      </c>
      <c r="B218" s="11" t="inlineStr">
        <is>
          <t>11 kV protection relay AH2</t>
        </is>
      </c>
      <c r="C218" s="11" t="inlineStr">
        <is>
          <t>Earth current</t>
        </is>
      </c>
      <c r="D218" s="11" t="inlineStr">
        <is>
          <t>Read</t>
        </is>
      </c>
      <c r="E218" s="11" t="inlineStr">
        <is>
          <t>Measured</t>
        </is>
      </c>
      <c r="F218" s="11" t="inlineStr">
        <is>
          <t>A</t>
        </is>
      </c>
      <c r="G218" s="11" t="inlineStr">
        <is>
          <t>IEC 61850 or Modbus TCP</t>
        </is>
      </c>
      <c r="H218" s="11" t="inlineStr">
        <is>
          <t>-</t>
        </is>
      </c>
      <c r="I218" s="11" t="inlineStr">
        <is>
          <t>-</t>
        </is>
      </c>
      <c r="J218" s="11" t="inlineStr">
        <is>
          <t>-</t>
        </is>
      </c>
      <c r="K218" s="11" t="n"/>
    </row>
    <row r="219">
      <c r="A219" s="11" t="inlineStr">
        <is>
          <t>AH2-U-L1</t>
        </is>
      </c>
      <c r="B219" s="11" t="inlineStr">
        <is>
          <t>11 kV protection relay AH2</t>
        </is>
      </c>
      <c r="C219" s="11" t="inlineStr">
        <is>
          <t>Voltage L1, L2, L3 (3 points)</t>
        </is>
      </c>
      <c r="D219" s="11" t="inlineStr">
        <is>
          <t>Read</t>
        </is>
      </c>
      <c r="E219" s="11" t="inlineStr">
        <is>
          <t>Measured</t>
        </is>
      </c>
      <c r="F219" s="11" t="inlineStr">
        <is>
          <t>kV</t>
        </is>
      </c>
      <c r="G219" s="11" t="inlineStr">
        <is>
          <t>IEC 61850 or Modbus TCP</t>
        </is>
      </c>
      <c r="H219" s="11" t="inlineStr">
        <is>
          <t>-</t>
        </is>
      </c>
      <c r="I219" s="11" t="inlineStr">
        <is>
          <t>-</t>
        </is>
      </c>
      <c r="J219" s="11" t="inlineStr">
        <is>
          <t>-</t>
        </is>
      </c>
      <c r="K219" s="11" t="n"/>
    </row>
    <row r="220">
      <c r="A220" s="11" t="inlineStr">
        <is>
          <t>AH2-U-L2</t>
        </is>
      </c>
      <c r="B220" s="11" t="inlineStr">
        <is>
          <t>11 kV protection relay AH2</t>
        </is>
      </c>
      <c r="C220" s="11" t="inlineStr">
        <is>
          <t>Voltage L1, L2, L3 (3 points)</t>
        </is>
      </c>
      <c r="D220" s="11" t="inlineStr">
        <is>
          <t>Read</t>
        </is>
      </c>
      <c r="E220" s="11" t="inlineStr">
        <is>
          <t>Measured</t>
        </is>
      </c>
      <c r="F220" s="11" t="inlineStr">
        <is>
          <t>kV</t>
        </is>
      </c>
      <c r="G220" s="11" t="inlineStr">
        <is>
          <t>IEC 61850 or Modbus TCP</t>
        </is>
      </c>
      <c r="H220" s="11" t="inlineStr">
        <is>
          <t>-</t>
        </is>
      </c>
      <c r="I220" s="11" t="inlineStr">
        <is>
          <t>-</t>
        </is>
      </c>
      <c r="J220" s="11" t="inlineStr">
        <is>
          <t>-</t>
        </is>
      </c>
      <c r="K220" s="11" t="n"/>
    </row>
    <row r="221">
      <c r="A221" s="11" t="inlineStr">
        <is>
          <t>AH2-U-L3</t>
        </is>
      </c>
      <c r="B221" s="11" t="inlineStr">
        <is>
          <t>11 kV protection relay AH2</t>
        </is>
      </c>
      <c r="C221" s="11" t="inlineStr">
        <is>
          <t>Voltage L1, L2, L3 (3 points)</t>
        </is>
      </c>
      <c r="D221" s="11" t="inlineStr">
        <is>
          <t>Read</t>
        </is>
      </c>
      <c r="E221" s="11" t="inlineStr">
        <is>
          <t>Measured</t>
        </is>
      </c>
      <c r="F221" s="11" t="inlineStr">
        <is>
          <t>kV</t>
        </is>
      </c>
      <c r="G221" s="11" t="inlineStr">
        <is>
          <t>IEC 61850 or Modbus TCP</t>
        </is>
      </c>
      <c r="H221" s="11" t="inlineStr">
        <is>
          <t>-</t>
        </is>
      </c>
      <c r="I221" s="11" t="inlineStr">
        <is>
          <t>-</t>
        </is>
      </c>
      <c r="J221" s="11" t="inlineStr">
        <is>
          <t>-</t>
        </is>
      </c>
      <c r="K221" s="11" t="n"/>
    </row>
    <row r="222">
      <c r="A222" s="11" t="inlineStr">
        <is>
          <t>AH2-P</t>
        </is>
      </c>
      <c r="B222" s="11" t="inlineStr">
        <is>
          <t>11 kV protection relay AH2</t>
        </is>
      </c>
      <c r="C222" s="11" t="inlineStr">
        <is>
          <t>Active power</t>
        </is>
      </c>
      <c r="D222" s="11" t="inlineStr">
        <is>
          <t>Read</t>
        </is>
      </c>
      <c r="E222" s="11" t="inlineStr">
        <is>
          <t>Measured</t>
        </is>
      </c>
      <c r="F222" s="11" t="inlineStr">
        <is>
          <t>kW</t>
        </is>
      </c>
      <c r="G222" s="11" t="inlineStr">
        <is>
          <t>IEC 61850 or Modbus TCP</t>
        </is>
      </c>
      <c r="H222" s="11" t="inlineStr">
        <is>
          <t>-</t>
        </is>
      </c>
      <c r="I222" s="11" t="inlineStr">
        <is>
          <t>-</t>
        </is>
      </c>
      <c r="J222" s="11" t="inlineStr">
        <is>
          <t>-</t>
        </is>
      </c>
      <c r="K222" s="11" t="n"/>
    </row>
    <row r="223">
      <c r="A223" s="11" t="inlineStr">
        <is>
          <t>AH2-Q</t>
        </is>
      </c>
      <c r="B223" s="11" t="inlineStr">
        <is>
          <t>11 kV protection relay AH2</t>
        </is>
      </c>
      <c r="C223" s="11" t="inlineStr">
        <is>
          <t>Reactive power</t>
        </is>
      </c>
      <c r="D223" s="11" t="inlineStr">
        <is>
          <t>Read</t>
        </is>
      </c>
      <c r="E223" s="11" t="inlineStr">
        <is>
          <t>Measured</t>
        </is>
      </c>
      <c r="F223" s="11" t="inlineStr">
        <is>
          <t>kvar</t>
        </is>
      </c>
      <c r="G223" s="11" t="inlineStr">
        <is>
          <t>IEC 61850 or Modbus TCP</t>
        </is>
      </c>
      <c r="H223" s="11" t="inlineStr">
        <is>
          <t>-</t>
        </is>
      </c>
      <c r="I223" s="11" t="inlineStr">
        <is>
          <t>-</t>
        </is>
      </c>
      <c r="J223" s="11" t="inlineStr">
        <is>
          <t>-</t>
        </is>
      </c>
      <c r="K223" s="11" t="n"/>
    </row>
    <row r="224">
      <c r="A224" s="11" t="inlineStr">
        <is>
          <t>AH2-PF</t>
        </is>
      </c>
      <c r="B224" s="11" t="inlineStr">
        <is>
          <t>11 kV protection relay AH2</t>
        </is>
      </c>
      <c r="C224" s="11" t="inlineStr">
        <is>
          <t>Power factor</t>
        </is>
      </c>
      <c r="D224" s="11" t="inlineStr">
        <is>
          <t>Read</t>
        </is>
      </c>
      <c r="E224" s="11" t="inlineStr">
        <is>
          <t>Measured</t>
        </is>
      </c>
      <c r="F224" s="11" t="inlineStr">
        <is>
          <t>-</t>
        </is>
      </c>
      <c r="G224" s="11" t="inlineStr">
        <is>
          <t>IEC 61850 or Modbus TCP</t>
        </is>
      </c>
      <c r="H224" s="11" t="inlineStr">
        <is>
          <t>-</t>
        </is>
      </c>
      <c r="I224" s="11" t="inlineStr">
        <is>
          <t>-</t>
        </is>
      </c>
      <c r="J224" s="11" t="inlineStr">
        <is>
          <t>-</t>
        </is>
      </c>
      <c r="K224" s="11" t="n"/>
    </row>
    <row r="225">
      <c r="A225" s="11" t="inlineStr">
        <is>
          <t>AH2-F</t>
        </is>
      </c>
      <c r="B225" s="11" t="inlineStr">
        <is>
          <t>11 kV protection relay AH2</t>
        </is>
      </c>
      <c r="C225" s="11" t="inlineStr">
        <is>
          <t>Frequency</t>
        </is>
      </c>
      <c r="D225" s="11" t="inlineStr">
        <is>
          <t>Read</t>
        </is>
      </c>
      <c r="E225" s="11" t="inlineStr">
        <is>
          <t>Measured</t>
        </is>
      </c>
      <c r="F225" s="11" t="inlineStr">
        <is>
          <t>Hz</t>
        </is>
      </c>
      <c r="G225" s="11" t="inlineStr">
        <is>
          <t>IEC 61850 or Modbus TCP</t>
        </is>
      </c>
      <c r="H225" s="11" t="inlineStr">
        <is>
          <t>-</t>
        </is>
      </c>
      <c r="I225" s="11" t="inlineStr">
        <is>
          <t>-</t>
        </is>
      </c>
      <c r="J225" s="11" t="inlineStr">
        <is>
          <t>-</t>
        </is>
      </c>
      <c r="K225" s="11" t="n"/>
    </row>
    <row r="226">
      <c r="A226" s="11" t="inlineStr">
        <is>
          <t>AH2-E-IMP</t>
        </is>
      </c>
      <c r="B226" s="11" t="inlineStr">
        <is>
          <t>11 kV protection relay AH2</t>
        </is>
      </c>
      <c r="C226" s="11" t="inlineStr">
        <is>
          <t>Energy import</t>
        </is>
      </c>
      <c r="D226" s="11" t="inlineStr">
        <is>
          <t>Read</t>
        </is>
      </c>
      <c r="E226" s="11" t="inlineStr">
        <is>
          <t>Counter</t>
        </is>
      </c>
      <c r="F226" s="11" t="inlineStr">
        <is>
          <t>MWh</t>
        </is>
      </c>
      <c r="G226" s="11" t="inlineStr">
        <is>
          <t>IEC 61850 or Modbus TCP</t>
        </is>
      </c>
      <c r="H226" s="11" t="inlineStr">
        <is>
          <t>-</t>
        </is>
      </c>
      <c r="I226" s="11" t="inlineStr">
        <is>
          <t>-</t>
        </is>
      </c>
      <c r="J226" s="11" t="inlineStr">
        <is>
          <t>-</t>
        </is>
      </c>
      <c r="K226" s="11" t="n"/>
    </row>
    <row r="227">
      <c r="A227" s="11" t="inlineStr">
        <is>
          <t>AH2-E-EXP</t>
        </is>
      </c>
      <c r="B227" s="11" t="inlineStr">
        <is>
          <t>11 kV protection relay AH2</t>
        </is>
      </c>
      <c r="C227" s="11" t="inlineStr">
        <is>
          <t>Energy export</t>
        </is>
      </c>
      <c r="D227" s="11" t="inlineStr">
        <is>
          <t>Read</t>
        </is>
      </c>
      <c r="E227" s="11" t="inlineStr">
        <is>
          <t>Counter</t>
        </is>
      </c>
      <c r="F227" s="11" t="inlineStr">
        <is>
          <t>MWh</t>
        </is>
      </c>
      <c r="G227" s="11" t="inlineStr">
        <is>
          <t>IEC 61850 or Modbus TCP</t>
        </is>
      </c>
      <c r="H227" s="11" t="inlineStr">
        <is>
          <t>-</t>
        </is>
      </c>
      <c r="I227" s="11" t="inlineStr">
        <is>
          <t>-</t>
        </is>
      </c>
      <c r="J227" s="11" t="inlineStr">
        <is>
          <t>-</t>
        </is>
      </c>
      <c r="K227" s="11" t="n"/>
    </row>
    <row r="228">
      <c r="A228" s="11" t="inlineStr">
        <is>
          <t>AH2-CB-POS</t>
        </is>
      </c>
      <c r="B228" s="11" t="inlineStr">
        <is>
          <t>11 kV protection relay AH2</t>
        </is>
      </c>
      <c r="C228" s="11" t="inlineStr">
        <is>
          <t>Breaker position</t>
        </is>
      </c>
      <c r="D228" s="11" t="inlineStr">
        <is>
          <t>Read</t>
        </is>
      </c>
      <c r="E228" s="11" t="inlineStr">
        <is>
          <t>Double point</t>
        </is>
      </c>
      <c r="F228" s="11" t="inlineStr">
        <is>
          <t>-</t>
        </is>
      </c>
      <c r="G228" s="11" t="inlineStr">
        <is>
          <t>IEC 61850 or Modbus TCP</t>
        </is>
      </c>
      <c r="H228" s="11" t="inlineStr">
        <is>
          <t>Status</t>
        </is>
      </c>
      <c r="I228" s="11" t="inlineStr">
        <is>
          <t>-</t>
        </is>
      </c>
      <c r="J228" s="11" t="inlineStr">
        <is>
          <t>-</t>
        </is>
      </c>
      <c r="K228" s="11" t="n"/>
    </row>
    <row r="229">
      <c r="A229" s="11" t="inlineStr">
        <is>
          <t>AH2-TRIP-50</t>
        </is>
      </c>
      <c r="B229" s="11" t="inlineStr">
        <is>
          <t>11 kV protection relay AH2</t>
        </is>
      </c>
      <c r="C229" s="11" t="inlineStr">
        <is>
          <t>Overcurrent trip (50/51)</t>
        </is>
      </c>
      <c r="D229" s="11" t="inlineStr">
        <is>
          <t>Read</t>
        </is>
      </c>
      <c r="E229" s="11" t="inlineStr">
        <is>
          <t>Event</t>
        </is>
      </c>
      <c r="F229" s="11" t="inlineStr">
        <is>
          <t>-</t>
        </is>
      </c>
      <c r="G229" s="11" t="inlineStr">
        <is>
          <t>IEC 61850 or Modbus TCP</t>
        </is>
      </c>
      <c r="H229" s="11" t="inlineStr">
        <is>
          <t>1</t>
        </is>
      </c>
      <c r="I229" s="11" t="inlineStr">
        <is>
          <t>On</t>
        </is>
      </c>
      <c r="J229" s="11" t="inlineStr">
        <is>
          <t>-</t>
        </is>
      </c>
      <c r="K229" s="11" t="n"/>
    </row>
    <row r="230">
      <c r="A230" s="11" t="inlineStr">
        <is>
          <t>AH2-TRIP-50N</t>
        </is>
      </c>
      <c r="B230" s="11" t="inlineStr">
        <is>
          <t>11 kV protection relay AH2</t>
        </is>
      </c>
      <c r="C230" s="11" t="inlineStr">
        <is>
          <t>Earth fault trip (50N/51N)</t>
        </is>
      </c>
      <c r="D230" s="11" t="inlineStr">
        <is>
          <t>Read</t>
        </is>
      </c>
      <c r="E230" s="11" t="inlineStr">
        <is>
          <t>Event</t>
        </is>
      </c>
      <c r="F230" s="11" t="inlineStr">
        <is>
          <t>-</t>
        </is>
      </c>
      <c r="G230" s="11" t="inlineStr">
        <is>
          <t>IEC 61850 or Modbus TCP</t>
        </is>
      </c>
      <c r="H230" s="11" t="inlineStr">
        <is>
          <t>1</t>
        </is>
      </c>
      <c r="I230" s="11" t="inlineStr">
        <is>
          <t>On</t>
        </is>
      </c>
      <c r="J230" s="11" t="inlineStr">
        <is>
          <t>-</t>
        </is>
      </c>
      <c r="K230" s="11" t="n"/>
    </row>
    <row r="231">
      <c r="A231" s="11" t="inlineStr">
        <is>
          <t>AH2-TRIP-27-59</t>
        </is>
      </c>
      <c r="B231" s="11" t="inlineStr">
        <is>
          <t>11 kV protection relay AH2</t>
        </is>
      </c>
      <c r="C231" s="11" t="inlineStr">
        <is>
          <t>Under / overvoltage trip (27/59)</t>
        </is>
      </c>
      <c r="D231" s="11" t="inlineStr">
        <is>
          <t>Read</t>
        </is>
      </c>
      <c r="E231" s="11" t="inlineStr">
        <is>
          <t>Event</t>
        </is>
      </c>
      <c r="F231" s="11" t="inlineStr">
        <is>
          <t>-</t>
        </is>
      </c>
      <c r="G231" s="11" t="inlineStr">
        <is>
          <t>IEC 61850 or Modbus TCP</t>
        </is>
      </c>
      <c r="H231" s="11" t="inlineStr">
        <is>
          <t>1</t>
        </is>
      </c>
      <c r="I231" s="11" t="inlineStr">
        <is>
          <t>On</t>
        </is>
      </c>
      <c r="J231" s="11" t="inlineStr">
        <is>
          <t>-</t>
        </is>
      </c>
      <c r="K231" s="11" t="n"/>
    </row>
    <row r="232">
      <c r="A232" s="11" t="inlineStr">
        <is>
          <t>AH2-TRIP-81</t>
        </is>
      </c>
      <c r="B232" s="11" t="inlineStr">
        <is>
          <t>11 kV protection relay AH2</t>
        </is>
      </c>
      <c r="C232" s="11" t="inlineStr">
        <is>
          <t>Frequency trip (81)</t>
        </is>
      </c>
      <c r="D232" s="11" t="inlineStr">
        <is>
          <t>Read</t>
        </is>
      </c>
      <c r="E232" s="11" t="inlineStr">
        <is>
          <t>Event</t>
        </is>
      </c>
      <c r="F232" s="11" t="inlineStr">
        <is>
          <t>-</t>
        </is>
      </c>
      <c r="G232" s="11" t="inlineStr">
        <is>
          <t>IEC 61850 or Modbus TCP</t>
        </is>
      </c>
      <c r="H232" s="11" t="inlineStr">
        <is>
          <t>1</t>
        </is>
      </c>
      <c r="I232" s="11" t="inlineStr">
        <is>
          <t>On</t>
        </is>
      </c>
      <c r="J232" s="11" t="inlineStr">
        <is>
          <t>-</t>
        </is>
      </c>
      <c r="K232" s="11" t="n"/>
    </row>
    <row r="233">
      <c r="A233" s="11" t="inlineStr">
        <is>
          <t>AH2-RLY-HEALTHY</t>
        </is>
      </c>
      <c r="B233" s="11" t="inlineStr">
        <is>
          <t>11 kV protection relay AH2</t>
        </is>
      </c>
      <c r="C233" s="11" t="inlineStr">
        <is>
          <t>Relay healthy</t>
        </is>
      </c>
      <c r="D233" s="11" t="inlineStr">
        <is>
          <t>Read</t>
        </is>
      </c>
      <c r="E233" s="11" t="inlineStr">
        <is>
          <t>Status</t>
        </is>
      </c>
      <c r="F233" s="11" t="inlineStr">
        <is>
          <t>-</t>
        </is>
      </c>
      <c r="G233" s="11" t="inlineStr">
        <is>
          <t>IEC 61850 or Modbus TCP</t>
        </is>
      </c>
      <c r="H233" s="11" t="inlineStr">
        <is>
          <t>2</t>
        </is>
      </c>
      <c r="I233" s="11" t="inlineStr">
        <is>
          <t>Off</t>
        </is>
      </c>
      <c r="J233" s="11" t="inlineStr">
        <is>
          <t>-</t>
        </is>
      </c>
      <c r="K233" s="11" t="n"/>
    </row>
    <row r="234">
      <c r="A234" s="11" t="inlineStr">
        <is>
          <t>AH2-DREC</t>
        </is>
      </c>
      <c r="B234" s="11" t="inlineStr">
        <is>
          <t>11 kV protection relay AH2</t>
        </is>
      </c>
      <c r="C234" s="11" t="inlineStr">
        <is>
          <t>Disturbance record available</t>
        </is>
      </c>
      <c r="D234" s="11" t="inlineStr">
        <is>
          <t>Read</t>
        </is>
      </c>
      <c r="E234" s="11" t="inlineStr">
        <is>
          <t>Status</t>
        </is>
      </c>
      <c r="F234" s="11" t="inlineStr">
        <is>
          <t>-</t>
        </is>
      </c>
      <c r="G234" s="11" t="inlineStr">
        <is>
          <t>IEC 61850 or Modbus TCP</t>
        </is>
      </c>
      <c r="H234" s="11" t="inlineStr">
        <is>
          <t>3</t>
        </is>
      </c>
      <c r="I234" s="11" t="inlineStr">
        <is>
          <t>On</t>
        </is>
      </c>
      <c r="J234" s="11" t="inlineStr">
        <is>
          <t>-</t>
        </is>
      </c>
      <c r="K234" s="11" t="n"/>
    </row>
    <row r="235">
      <c r="A235" s="11" t="inlineStr">
        <is>
          <t>AH2-TCS-ALM</t>
        </is>
      </c>
      <c r="B235" s="11" t="inlineStr">
        <is>
          <t>11 kV protection relay AH2</t>
        </is>
      </c>
      <c r="C235" s="11" t="inlineStr">
        <is>
          <t>Trip circuit supervision alarm</t>
        </is>
      </c>
      <c r="D235" s="11" t="inlineStr">
        <is>
          <t>Read</t>
        </is>
      </c>
      <c r="E235" s="11" t="inlineStr">
        <is>
          <t>Status</t>
        </is>
      </c>
      <c r="F235" s="11" t="inlineStr">
        <is>
          <t>-</t>
        </is>
      </c>
      <c r="G235" s="11" t="inlineStr">
        <is>
          <t>IEC 61850 or Modbus TCP</t>
        </is>
      </c>
      <c r="H235" s="11" t="inlineStr">
        <is>
          <t>2</t>
        </is>
      </c>
      <c r="I235" s="11" t="inlineStr">
        <is>
          <t>On</t>
        </is>
      </c>
      <c r="J235" s="11" t="inlineStr">
        <is>
          <t>-</t>
        </is>
      </c>
      <c r="K235" s="11" t="inlineStr">
        <is>
          <t>Added rev 1</t>
        </is>
      </c>
    </row>
    <row r="236">
      <c r="A236" s="11" t="inlineStr">
        <is>
          <t>AH2-TRIP-51G</t>
        </is>
      </c>
      <c r="B236" s="11" t="inlineStr">
        <is>
          <t>11 kV protection relay AH2</t>
        </is>
      </c>
      <c r="C236" s="11" t="inlineStr">
        <is>
          <t>Sensitive earth fault trip (51G)</t>
        </is>
      </c>
      <c r="D236" s="11" t="inlineStr">
        <is>
          <t>Read</t>
        </is>
      </c>
      <c r="E236" s="11" t="inlineStr">
        <is>
          <t>Event</t>
        </is>
      </c>
      <c r="F236" s="11" t="inlineStr">
        <is>
          <t>-</t>
        </is>
      </c>
      <c r="G236" s="11" t="inlineStr">
        <is>
          <t>IEC 61850 or Modbus TCP</t>
        </is>
      </c>
      <c r="H236" s="11" t="inlineStr">
        <is>
          <t>1</t>
        </is>
      </c>
      <c r="I236" s="11" t="inlineStr">
        <is>
          <t>On</t>
        </is>
      </c>
      <c r="J236" s="11" t="inlineStr">
        <is>
          <t>-</t>
        </is>
      </c>
      <c r="K236" s="11" t="inlineStr">
        <is>
          <t>Added rev 1. Panels with a zero-sequence CT (all except AH5)</t>
        </is>
      </c>
    </row>
    <row r="237">
      <c r="A237" s="11" t="inlineStr">
        <is>
          <t>AH3-I-L1</t>
        </is>
      </c>
      <c r="B237" s="11" t="inlineStr">
        <is>
          <t>11 kV protection relay AH3</t>
        </is>
      </c>
      <c r="C237" s="11" t="inlineStr">
        <is>
          <t>Phase current L1, L2, L3 (3 points)</t>
        </is>
      </c>
      <c r="D237" s="11" t="inlineStr">
        <is>
          <t>Read</t>
        </is>
      </c>
      <c r="E237" s="11" t="inlineStr">
        <is>
          <t>Measured</t>
        </is>
      </c>
      <c r="F237" s="11" t="inlineStr">
        <is>
          <t>A</t>
        </is>
      </c>
      <c r="G237" s="11" t="inlineStr">
        <is>
          <t>IEC 61850 or Modbus TCP</t>
        </is>
      </c>
      <c r="H237" s="11" t="inlineStr">
        <is>
          <t>-</t>
        </is>
      </c>
      <c r="I237" s="11" t="inlineStr">
        <is>
          <t>-</t>
        </is>
      </c>
      <c r="J237" s="11" t="inlineStr">
        <is>
          <t>-</t>
        </is>
      </c>
      <c r="K237" s="11" t="n"/>
    </row>
    <row r="238">
      <c r="A238" s="11" t="inlineStr">
        <is>
          <t>AH3-I-L2</t>
        </is>
      </c>
      <c r="B238" s="11" t="inlineStr">
        <is>
          <t>11 kV protection relay AH3</t>
        </is>
      </c>
      <c r="C238" s="11" t="inlineStr">
        <is>
          <t>Phase current L1, L2, L3 (3 points)</t>
        </is>
      </c>
      <c r="D238" s="11" t="inlineStr">
        <is>
          <t>Read</t>
        </is>
      </c>
      <c r="E238" s="11" t="inlineStr">
        <is>
          <t>Measured</t>
        </is>
      </c>
      <c r="F238" s="11" t="inlineStr">
        <is>
          <t>A</t>
        </is>
      </c>
      <c r="G238" s="11" t="inlineStr">
        <is>
          <t>IEC 61850 or Modbus TCP</t>
        </is>
      </c>
      <c r="H238" s="11" t="inlineStr">
        <is>
          <t>-</t>
        </is>
      </c>
      <c r="I238" s="11" t="inlineStr">
        <is>
          <t>-</t>
        </is>
      </c>
      <c r="J238" s="11" t="inlineStr">
        <is>
          <t>-</t>
        </is>
      </c>
      <c r="K238" s="11" t="n"/>
    </row>
    <row r="239">
      <c r="A239" s="11" t="inlineStr">
        <is>
          <t>AH3-I-L3</t>
        </is>
      </c>
      <c r="B239" s="11" t="inlineStr">
        <is>
          <t>11 kV protection relay AH3</t>
        </is>
      </c>
      <c r="C239" s="11" t="inlineStr">
        <is>
          <t>Phase current L1, L2, L3 (3 points)</t>
        </is>
      </c>
      <c r="D239" s="11" t="inlineStr">
        <is>
          <t>Read</t>
        </is>
      </c>
      <c r="E239" s="11" t="inlineStr">
        <is>
          <t>Measured</t>
        </is>
      </c>
      <c r="F239" s="11" t="inlineStr">
        <is>
          <t>A</t>
        </is>
      </c>
      <c r="G239" s="11" t="inlineStr">
        <is>
          <t>IEC 61850 or Modbus TCP</t>
        </is>
      </c>
      <c r="H239" s="11" t="inlineStr">
        <is>
          <t>-</t>
        </is>
      </c>
      <c r="I239" s="11" t="inlineStr">
        <is>
          <t>-</t>
        </is>
      </c>
      <c r="J239" s="11" t="inlineStr">
        <is>
          <t>-</t>
        </is>
      </c>
      <c r="K239" s="11" t="n"/>
    </row>
    <row r="240">
      <c r="A240" s="11" t="inlineStr">
        <is>
          <t>AH3-I-E</t>
        </is>
      </c>
      <c r="B240" s="11" t="inlineStr">
        <is>
          <t>11 kV protection relay AH3</t>
        </is>
      </c>
      <c r="C240" s="11" t="inlineStr">
        <is>
          <t>Earth current</t>
        </is>
      </c>
      <c r="D240" s="11" t="inlineStr">
        <is>
          <t>Read</t>
        </is>
      </c>
      <c r="E240" s="11" t="inlineStr">
        <is>
          <t>Measured</t>
        </is>
      </c>
      <c r="F240" s="11" t="inlineStr">
        <is>
          <t>A</t>
        </is>
      </c>
      <c r="G240" s="11" t="inlineStr">
        <is>
          <t>IEC 61850 or Modbus TCP</t>
        </is>
      </c>
      <c r="H240" s="11" t="inlineStr">
        <is>
          <t>-</t>
        </is>
      </c>
      <c r="I240" s="11" t="inlineStr">
        <is>
          <t>-</t>
        </is>
      </c>
      <c r="J240" s="11" t="inlineStr">
        <is>
          <t>-</t>
        </is>
      </c>
      <c r="K240" s="11" t="n"/>
    </row>
    <row r="241">
      <c r="A241" s="11" t="inlineStr">
        <is>
          <t>AH3-U-L1</t>
        </is>
      </c>
      <c r="B241" s="11" t="inlineStr">
        <is>
          <t>11 kV protection relay AH3</t>
        </is>
      </c>
      <c r="C241" s="11" t="inlineStr">
        <is>
          <t>Voltage L1, L2, L3 (3 points)</t>
        </is>
      </c>
      <c r="D241" s="11" t="inlineStr">
        <is>
          <t>Read</t>
        </is>
      </c>
      <c r="E241" s="11" t="inlineStr">
        <is>
          <t>Measured</t>
        </is>
      </c>
      <c r="F241" s="11" t="inlineStr">
        <is>
          <t>kV</t>
        </is>
      </c>
      <c r="G241" s="11" t="inlineStr">
        <is>
          <t>IEC 61850 or Modbus TCP</t>
        </is>
      </c>
      <c r="H241" s="11" t="inlineStr">
        <is>
          <t>-</t>
        </is>
      </c>
      <c r="I241" s="11" t="inlineStr">
        <is>
          <t>-</t>
        </is>
      </c>
      <c r="J241" s="11" t="inlineStr">
        <is>
          <t>-</t>
        </is>
      </c>
      <c r="K241" s="11" t="n"/>
    </row>
    <row r="242">
      <c r="A242" s="11" t="inlineStr">
        <is>
          <t>AH3-U-L2</t>
        </is>
      </c>
      <c r="B242" s="11" t="inlineStr">
        <is>
          <t>11 kV protection relay AH3</t>
        </is>
      </c>
      <c r="C242" s="11" t="inlineStr">
        <is>
          <t>Voltage L1, L2, L3 (3 points)</t>
        </is>
      </c>
      <c r="D242" s="11" t="inlineStr">
        <is>
          <t>Read</t>
        </is>
      </c>
      <c r="E242" s="11" t="inlineStr">
        <is>
          <t>Measured</t>
        </is>
      </c>
      <c r="F242" s="11" t="inlineStr">
        <is>
          <t>kV</t>
        </is>
      </c>
      <c r="G242" s="11" t="inlineStr">
        <is>
          <t>IEC 61850 or Modbus TCP</t>
        </is>
      </c>
      <c r="H242" s="11" t="inlineStr">
        <is>
          <t>-</t>
        </is>
      </c>
      <c r="I242" s="11" t="inlineStr">
        <is>
          <t>-</t>
        </is>
      </c>
      <c r="J242" s="11" t="inlineStr">
        <is>
          <t>-</t>
        </is>
      </c>
      <c r="K242" s="11" t="n"/>
    </row>
    <row r="243">
      <c r="A243" s="11" t="inlineStr">
        <is>
          <t>AH3-U-L3</t>
        </is>
      </c>
      <c r="B243" s="11" t="inlineStr">
        <is>
          <t>11 kV protection relay AH3</t>
        </is>
      </c>
      <c r="C243" s="11" t="inlineStr">
        <is>
          <t>Voltage L1, L2, L3 (3 points)</t>
        </is>
      </c>
      <c r="D243" s="11" t="inlineStr">
        <is>
          <t>Read</t>
        </is>
      </c>
      <c r="E243" s="11" t="inlineStr">
        <is>
          <t>Measured</t>
        </is>
      </c>
      <c r="F243" s="11" t="inlineStr">
        <is>
          <t>kV</t>
        </is>
      </c>
      <c r="G243" s="11" t="inlineStr">
        <is>
          <t>IEC 61850 or Modbus TCP</t>
        </is>
      </c>
      <c r="H243" s="11" t="inlineStr">
        <is>
          <t>-</t>
        </is>
      </c>
      <c r="I243" s="11" t="inlineStr">
        <is>
          <t>-</t>
        </is>
      </c>
      <c r="J243" s="11" t="inlineStr">
        <is>
          <t>-</t>
        </is>
      </c>
      <c r="K243" s="11" t="n"/>
    </row>
    <row r="244">
      <c r="A244" s="11" t="inlineStr">
        <is>
          <t>AH3-P</t>
        </is>
      </c>
      <c r="B244" s="11" t="inlineStr">
        <is>
          <t>11 kV protection relay AH3</t>
        </is>
      </c>
      <c r="C244" s="11" t="inlineStr">
        <is>
          <t>Active power</t>
        </is>
      </c>
      <c r="D244" s="11" t="inlineStr">
        <is>
          <t>Read</t>
        </is>
      </c>
      <c r="E244" s="11" t="inlineStr">
        <is>
          <t>Measured</t>
        </is>
      </c>
      <c r="F244" s="11" t="inlineStr">
        <is>
          <t>kW</t>
        </is>
      </c>
      <c r="G244" s="11" t="inlineStr">
        <is>
          <t>IEC 61850 or Modbus TCP</t>
        </is>
      </c>
      <c r="H244" s="11" t="inlineStr">
        <is>
          <t>-</t>
        </is>
      </c>
      <c r="I244" s="11" t="inlineStr">
        <is>
          <t>-</t>
        </is>
      </c>
      <c r="J244" s="11" t="inlineStr">
        <is>
          <t>-</t>
        </is>
      </c>
      <c r="K244" s="11" t="n"/>
    </row>
    <row r="245">
      <c r="A245" s="11" t="inlineStr">
        <is>
          <t>AH3-Q</t>
        </is>
      </c>
      <c r="B245" s="11" t="inlineStr">
        <is>
          <t>11 kV protection relay AH3</t>
        </is>
      </c>
      <c r="C245" s="11" t="inlineStr">
        <is>
          <t>Reactive power</t>
        </is>
      </c>
      <c r="D245" s="11" t="inlineStr">
        <is>
          <t>Read</t>
        </is>
      </c>
      <c r="E245" s="11" t="inlineStr">
        <is>
          <t>Measured</t>
        </is>
      </c>
      <c r="F245" s="11" t="inlineStr">
        <is>
          <t>kvar</t>
        </is>
      </c>
      <c r="G245" s="11" t="inlineStr">
        <is>
          <t>IEC 61850 or Modbus TCP</t>
        </is>
      </c>
      <c r="H245" s="11" t="inlineStr">
        <is>
          <t>-</t>
        </is>
      </c>
      <c r="I245" s="11" t="inlineStr">
        <is>
          <t>-</t>
        </is>
      </c>
      <c r="J245" s="11" t="inlineStr">
        <is>
          <t>-</t>
        </is>
      </c>
      <c r="K245" s="11" t="n"/>
    </row>
    <row r="246">
      <c r="A246" s="11" t="inlineStr">
        <is>
          <t>AH3-PF</t>
        </is>
      </c>
      <c r="B246" s="11" t="inlineStr">
        <is>
          <t>11 kV protection relay AH3</t>
        </is>
      </c>
      <c r="C246" s="11" t="inlineStr">
        <is>
          <t>Power factor</t>
        </is>
      </c>
      <c r="D246" s="11" t="inlineStr">
        <is>
          <t>Read</t>
        </is>
      </c>
      <c r="E246" s="11" t="inlineStr">
        <is>
          <t>Measured</t>
        </is>
      </c>
      <c r="F246" s="11" t="inlineStr">
        <is>
          <t>-</t>
        </is>
      </c>
      <c r="G246" s="11" t="inlineStr">
        <is>
          <t>IEC 61850 or Modbus TCP</t>
        </is>
      </c>
      <c r="H246" s="11" t="inlineStr">
        <is>
          <t>-</t>
        </is>
      </c>
      <c r="I246" s="11" t="inlineStr">
        <is>
          <t>-</t>
        </is>
      </c>
      <c r="J246" s="11" t="inlineStr">
        <is>
          <t>-</t>
        </is>
      </c>
      <c r="K246" s="11" t="n"/>
    </row>
    <row r="247">
      <c r="A247" s="11" t="inlineStr">
        <is>
          <t>AH3-F</t>
        </is>
      </c>
      <c r="B247" s="11" t="inlineStr">
        <is>
          <t>11 kV protection relay AH3</t>
        </is>
      </c>
      <c r="C247" s="11" t="inlineStr">
        <is>
          <t>Frequency</t>
        </is>
      </c>
      <c r="D247" s="11" t="inlineStr">
        <is>
          <t>Read</t>
        </is>
      </c>
      <c r="E247" s="11" t="inlineStr">
        <is>
          <t>Measured</t>
        </is>
      </c>
      <c r="F247" s="11" t="inlineStr">
        <is>
          <t>Hz</t>
        </is>
      </c>
      <c r="G247" s="11" t="inlineStr">
        <is>
          <t>IEC 61850 or Modbus TCP</t>
        </is>
      </c>
      <c r="H247" s="11" t="inlineStr">
        <is>
          <t>-</t>
        </is>
      </c>
      <c r="I247" s="11" t="inlineStr">
        <is>
          <t>-</t>
        </is>
      </c>
      <c r="J247" s="11" t="inlineStr">
        <is>
          <t>-</t>
        </is>
      </c>
      <c r="K247" s="11" t="n"/>
    </row>
    <row r="248">
      <c r="A248" s="11" t="inlineStr">
        <is>
          <t>AH3-E-IMP</t>
        </is>
      </c>
      <c r="B248" s="11" t="inlineStr">
        <is>
          <t>11 kV protection relay AH3</t>
        </is>
      </c>
      <c r="C248" s="11" t="inlineStr">
        <is>
          <t>Energy import</t>
        </is>
      </c>
      <c r="D248" s="11" t="inlineStr">
        <is>
          <t>Read</t>
        </is>
      </c>
      <c r="E248" s="11" t="inlineStr">
        <is>
          <t>Counter</t>
        </is>
      </c>
      <c r="F248" s="11" t="inlineStr">
        <is>
          <t>MWh</t>
        </is>
      </c>
      <c r="G248" s="11" t="inlineStr">
        <is>
          <t>IEC 61850 or Modbus TCP</t>
        </is>
      </c>
      <c r="H248" s="11" t="inlineStr">
        <is>
          <t>-</t>
        </is>
      </c>
      <c r="I248" s="11" t="inlineStr">
        <is>
          <t>-</t>
        </is>
      </c>
      <c r="J248" s="11" t="inlineStr">
        <is>
          <t>-</t>
        </is>
      </c>
      <c r="K248" s="11" t="n"/>
    </row>
    <row r="249">
      <c r="A249" s="11" t="inlineStr">
        <is>
          <t>AH3-E-EXP</t>
        </is>
      </c>
      <c r="B249" s="11" t="inlineStr">
        <is>
          <t>11 kV protection relay AH3</t>
        </is>
      </c>
      <c r="C249" s="11" t="inlineStr">
        <is>
          <t>Energy export</t>
        </is>
      </c>
      <c r="D249" s="11" t="inlineStr">
        <is>
          <t>Read</t>
        </is>
      </c>
      <c r="E249" s="11" t="inlineStr">
        <is>
          <t>Counter</t>
        </is>
      </c>
      <c r="F249" s="11" t="inlineStr">
        <is>
          <t>MWh</t>
        </is>
      </c>
      <c r="G249" s="11" t="inlineStr">
        <is>
          <t>IEC 61850 or Modbus TCP</t>
        </is>
      </c>
      <c r="H249" s="11" t="inlineStr">
        <is>
          <t>-</t>
        </is>
      </c>
      <c r="I249" s="11" t="inlineStr">
        <is>
          <t>-</t>
        </is>
      </c>
      <c r="J249" s="11" t="inlineStr">
        <is>
          <t>-</t>
        </is>
      </c>
      <c r="K249" s="11" t="n"/>
    </row>
    <row r="250">
      <c r="A250" s="11" t="inlineStr">
        <is>
          <t>AH3-CB-POS</t>
        </is>
      </c>
      <c r="B250" s="11" t="inlineStr">
        <is>
          <t>11 kV protection relay AH3</t>
        </is>
      </c>
      <c r="C250" s="11" t="inlineStr">
        <is>
          <t>Breaker position</t>
        </is>
      </c>
      <c r="D250" s="11" t="inlineStr">
        <is>
          <t>Read</t>
        </is>
      </c>
      <c r="E250" s="11" t="inlineStr">
        <is>
          <t>Double point</t>
        </is>
      </c>
      <c r="F250" s="11" t="inlineStr">
        <is>
          <t>-</t>
        </is>
      </c>
      <c r="G250" s="11" t="inlineStr">
        <is>
          <t>IEC 61850 or Modbus TCP</t>
        </is>
      </c>
      <c r="H250" s="11" t="inlineStr">
        <is>
          <t>Status</t>
        </is>
      </c>
      <c r="I250" s="11" t="inlineStr">
        <is>
          <t>-</t>
        </is>
      </c>
      <c r="J250" s="11" t="inlineStr">
        <is>
          <t>-</t>
        </is>
      </c>
      <c r="K250" s="11" t="n"/>
    </row>
    <row r="251">
      <c r="A251" s="11" t="inlineStr">
        <is>
          <t>AH3-TRIP-50</t>
        </is>
      </c>
      <c r="B251" s="11" t="inlineStr">
        <is>
          <t>11 kV protection relay AH3</t>
        </is>
      </c>
      <c r="C251" s="11" t="inlineStr">
        <is>
          <t>Overcurrent trip (50/51)</t>
        </is>
      </c>
      <c r="D251" s="11" t="inlineStr">
        <is>
          <t>Read</t>
        </is>
      </c>
      <c r="E251" s="11" t="inlineStr">
        <is>
          <t>Event</t>
        </is>
      </c>
      <c r="F251" s="11" t="inlineStr">
        <is>
          <t>-</t>
        </is>
      </c>
      <c r="G251" s="11" t="inlineStr">
        <is>
          <t>IEC 61850 or Modbus TCP</t>
        </is>
      </c>
      <c r="H251" s="11" t="inlineStr">
        <is>
          <t>1</t>
        </is>
      </c>
      <c r="I251" s="11" t="inlineStr">
        <is>
          <t>On</t>
        </is>
      </c>
      <c r="J251" s="11" t="inlineStr">
        <is>
          <t>-</t>
        </is>
      </c>
      <c r="K251" s="11" t="n"/>
    </row>
    <row r="252">
      <c r="A252" s="11" t="inlineStr">
        <is>
          <t>AH3-TRIP-50N</t>
        </is>
      </c>
      <c r="B252" s="11" t="inlineStr">
        <is>
          <t>11 kV protection relay AH3</t>
        </is>
      </c>
      <c r="C252" s="11" t="inlineStr">
        <is>
          <t>Earth fault trip (50N/51N)</t>
        </is>
      </c>
      <c r="D252" s="11" t="inlineStr">
        <is>
          <t>Read</t>
        </is>
      </c>
      <c r="E252" s="11" t="inlineStr">
        <is>
          <t>Event</t>
        </is>
      </c>
      <c r="F252" s="11" t="inlineStr">
        <is>
          <t>-</t>
        </is>
      </c>
      <c r="G252" s="11" t="inlineStr">
        <is>
          <t>IEC 61850 or Modbus TCP</t>
        </is>
      </c>
      <c r="H252" s="11" t="inlineStr">
        <is>
          <t>1</t>
        </is>
      </c>
      <c r="I252" s="11" t="inlineStr">
        <is>
          <t>On</t>
        </is>
      </c>
      <c r="J252" s="11" t="inlineStr">
        <is>
          <t>-</t>
        </is>
      </c>
      <c r="K252" s="11" t="n"/>
    </row>
    <row r="253">
      <c r="A253" s="11" t="inlineStr">
        <is>
          <t>AH3-TRIP-27-59</t>
        </is>
      </c>
      <c r="B253" s="11" t="inlineStr">
        <is>
          <t>11 kV protection relay AH3</t>
        </is>
      </c>
      <c r="C253" s="11" t="inlineStr">
        <is>
          <t>Under / overvoltage trip (27/59)</t>
        </is>
      </c>
      <c r="D253" s="11" t="inlineStr">
        <is>
          <t>Read</t>
        </is>
      </c>
      <c r="E253" s="11" t="inlineStr">
        <is>
          <t>Event</t>
        </is>
      </c>
      <c r="F253" s="11" t="inlineStr">
        <is>
          <t>-</t>
        </is>
      </c>
      <c r="G253" s="11" t="inlineStr">
        <is>
          <t>IEC 61850 or Modbus TCP</t>
        </is>
      </c>
      <c r="H253" s="11" t="inlineStr">
        <is>
          <t>1</t>
        </is>
      </c>
      <c r="I253" s="11" t="inlineStr">
        <is>
          <t>On</t>
        </is>
      </c>
      <c r="J253" s="11" t="inlineStr">
        <is>
          <t>-</t>
        </is>
      </c>
      <c r="K253" s="11" t="n"/>
    </row>
    <row r="254">
      <c r="A254" s="11" t="inlineStr">
        <is>
          <t>AH3-TRIP-81</t>
        </is>
      </c>
      <c r="B254" s="11" t="inlineStr">
        <is>
          <t>11 kV protection relay AH3</t>
        </is>
      </c>
      <c r="C254" s="11" t="inlineStr">
        <is>
          <t>Frequency trip (81)</t>
        </is>
      </c>
      <c r="D254" s="11" t="inlineStr">
        <is>
          <t>Read</t>
        </is>
      </c>
      <c r="E254" s="11" t="inlineStr">
        <is>
          <t>Event</t>
        </is>
      </c>
      <c r="F254" s="11" t="inlineStr">
        <is>
          <t>-</t>
        </is>
      </c>
      <c r="G254" s="11" t="inlineStr">
        <is>
          <t>IEC 61850 or Modbus TCP</t>
        </is>
      </c>
      <c r="H254" s="11" t="inlineStr">
        <is>
          <t>1</t>
        </is>
      </c>
      <c r="I254" s="11" t="inlineStr">
        <is>
          <t>On</t>
        </is>
      </c>
      <c r="J254" s="11" t="inlineStr">
        <is>
          <t>-</t>
        </is>
      </c>
      <c r="K254" s="11" t="n"/>
    </row>
    <row r="255">
      <c r="A255" s="11" t="inlineStr">
        <is>
          <t>AH3-RLY-HEALTHY</t>
        </is>
      </c>
      <c r="B255" s="11" t="inlineStr">
        <is>
          <t>11 kV protection relay AH3</t>
        </is>
      </c>
      <c r="C255" s="11" t="inlineStr">
        <is>
          <t>Relay healthy</t>
        </is>
      </c>
      <c r="D255" s="11" t="inlineStr">
        <is>
          <t>Read</t>
        </is>
      </c>
      <c r="E255" s="11" t="inlineStr">
        <is>
          <t>Status</t>
        </is>
      </c>
      <c r="F255" s="11" t="inlineStr">
        <is>
          <t>-</t>
        </is>
      </c>
      <c r="G255" s="11" t="inlineStr">
        <is>
          <t>IEC 61850 or Modbus TCP</t>
        </is>
      </c>
      <c r="H255" s="11" t="inlineStr">
        <is>
          <t>2</t>
        </is>
      </c>
      <c r="I255" s="11" t="inlineStr">
        <is>
          <t>Off</t>
        </is>
      </c>
      <c r="J255" s="11" t="inlineStr">
        <is>
          <t>-</t>
        </is>
      </c>
      <c r="K255" s="11" t="n"/>
    </row>
    <row r="256">
      <c r="A256" s="11" t="inlineStr">
        <is>
          <t>AH3-DREC</t>
        </is>
      </c>
      <c r="B256" s="11" t="inlineStr">
        <is>
          <t>11 kV protection relay AH3</t>
        </is>
      </c>
      <c r="C256" s="11" t="inlineStr">
        <is>
          <t>Disturbance record available</t>
        </is>
      </c>
      <c r="D256" s="11" t="inlineStr">
        <is>
          <t>Read</t>
        </is>
      </c>
      <c r="E256" s="11" t="inlineStr">
        <is>
          <t>Status</t>
        </is>
      </c>
      <c r="F256" s="11" t="inlineStr">
        <is>
          <t>-</t>
        </is>
      </c>
      <c r="G256" s="11" t="inlineStr">
        <is>
          <t>IEC 61850 or Modbus TCP</t>
        </is>
      </c>
      <c r="H256" s="11" t="inlineStr">
        <is>
          <t>3</t>
        </is>
      </c>
      <c r="I256" s="11" t="inlineStr">
        <is>
          <t>On</t>
        </is>
      </c>
      <c r="J256" s="11" t="inlineStr">
        <is>
          <t>-</t>
        </is>
      </c>
      <c r="K256" s="11" t="n"/>
    </row>
    <row r="257">
      <c r="A257" s="11" t="inlineStr">
        <is>
          <t>AH3-TCS-ALM</t>
        </is>
      </c>
      <c r="B257" s="11" t="inlineStr">
        <is>
          <t>11 kV protection relay AH3</t>
        </is>
      </c>
      <c r="C257" s="11" t="inlineStr">
        <is>
          <t>Trip circuit supervision alarm</t>
        </is>
      </c>
      <c r="D257" s="11" t="inlineStr">
        <is>
          <t>Read</t>
        </is>
      </c>
      <c r="E257" s="11" t="inlineStr">
        <is>
          <t>Status</t>
        </is>
      </c>
      <c r="F257" s="11" t="inlineStr">
        <is>
          <t>-</t>
        </is>
      </c>
      <c r="G257" s="11" t="inlineStr">
        <is>
          <t>IEC 61850 or Modbus TCP</t>
        </is>
      </c>
      <c r="H257" s="11" t="inlineStr">
        <is>
          <t>2</t>
        </is>
      </c>
      <c r="I257" s="11" t="inlineStr">
        <is>
          <t>On</t>
        </is>
      </c>
      <c r="J257" s="11" t="inlineStr">
        <is>
          <t>-</t>
        </is>
      </c>
      <c r="K257" s="11" t="inlineStr">
        <is>
          <t>Added rev 1</t>
        </is>
      </c>
    </row>
    <row r="258">
      <c r="A258" s="11" t="inlineStr">
        <is>
          <t>AH3-TRIP-51G</t>
        </is>
      </c>
      <c r="B258" s="11" t="inlineStr">
        <is>
          <t>11 kV protection relay AH3</t>
        </is>
      </c>
      <c r="C258" s="11" t="inlineStr">
        <is>
          <t>Sensitive earth fault trip (51G)</t>
        </is>
      </c>
      <c r="D258" s="11" t="inlineStr">
        <is>
          <t>Read</t>
        </is>
      </c>
      <c r="E258" s="11" t="inlineStr">
        <is>
          <t>Event</t>
        </is>
      </c>
      <c r="F258" s="11" t="inlineStr">
        <is>
          <t>-</t>
        </is>
      </c>
      <c r="G258" s="11" t="inlineStr">
        <is>
          <t>IEC 61850 or Modbus TCP</t>
        </is>
      </c>
      <c r="H258" s="11" t="inlineStr">
        <is>
          <t>1</t>
        </is>
      </c>
      <c r="I258" s="11" t="inlineStr">
        <is>
          <t>On</t>
        </is>
      </c>
      <c r="J258" s="11" t="inlineStr">
        <is>
          <t>-</t>
        </is>
      </c>
      <c r="K258" s="11" t="inlineStr">
        <is>
          <t>Added rev 1. Panels with a zero-sequence CT (all except AH5)</t>
        </is>
      </c>
    </row>
    <row r="259">
      <c r="A259" s="11" t="inlineStr">
        <is>
          <t>AH4-I-L1</t>
        </is>
      </c>
      <c r="B259" s="11" t="inlineStr">
        <is>
          <t>11 kV protection relay AH4</t>
        </is>
      </c>
      <c r="C259" s="11" t="inlineStr">
        <is>
          <t>Phase current L1, L2, L3 (3 points)</t>
        </is>
      </c>
      <c r="D259" s="11" t="inlineStr">
        <is>
          <t>Read</t>
        </is>
      </c>
      <c r="E259" s="11" t="inlineStr">
        <is>
          <t>Measured</t>
        </is>
      </c>
      <c r="F259" s="11" t="inlineStr">
        <is>
          <t>A</t>
        </is>
      </c>
      <c r="G259" s="11" t="inlineStr">
        <is>
          <t>IEC 61850 or Modbus TCP</t>
        </is>
      </c>
      <c r="H259" s="11" t="inlineStr">
        <is>
          <t>-</t>
        </is>
      </c>
      <c r="I259" s="11" t="inlineStr">
        <is>
          <t>-</t>
        </is>
      </c>
      <c r="J259" s="11" t="inlineStr">
        <is>
          <t>-</t>
        </is>
      </c>
      <c r="K259" s="11" t="n"/>
    </row>
    <row r="260">
      <c r="A260" s="11" t="inlineStr">
        <is>
          <t>AH4-I-L2</t>
        </is>
      </c>
      <c r="B260" s="11" t="inlineStr">
        <is>
          <t>11 kV protection relay AH4</t>
        </is>
      </c>
      <c r="C260" s="11" t="inlineStr">
        <is>
          <t>Phase current L1, L2, L3 (3 points)</t>
        </is>
      </c>
      <c r="D260" s="11" t="inlineStr">
        <is>
          <t>Read</t>
        </is>
      </c>
      <c r="E260" s="11" t="inlineStr">
        <is>
          <t>Measured</t>
        </is>
      </c>
      <c r="F260" s="11" t="inlineStr">
        <is>
          <t>A</t>
        </is>
      </c>
      <c r="G260" s="11" t="inlineStr">
        <is>
          <t>IEC 61850 or Modbus TCP</t>
        </is>
      </c>
      <c r="H260" s="11" t="inlineStr">
        <is>
          <t>-</t>
        </is>
      </c>
      <c r="I260" s="11" t="inlineStr">
        <is>
          <t>-</t>
        </is>
      </c>
      <c r="J260" s="11" t="inlineStr">
        <is>
          <t>-</t>
        </is>
      </c>
      <c r="K260" s="11" t="n"/>
    </row>
    <row r="261">
      <c r="A261" s="11" t="inlineStr">
        <is>
          <t>AH4-I-L3</t>
        </is>
      </c>
      <c r="B261" s="11" t="inlineStr">
        <is>
          <t>11 kV protection relay AH4</t>
        </is>
      </c>
      <c r="C261" s="11" t="inlineStr">
        <is>
          <t>Phase current L1, L2, L3 (3 points)</t>
        </is>
      </c>
      <c r="D261" s="11" t="inlineStr">
        <is>
          <t>Read</t>
        </is>
      </c>
      <c r="E261" s="11" t="inlineStr">
        <is>
          <t>Measured</t>
        </is>
      </c>
      <c r="F261" s="11" t="inlineStr">
        <is>
          <t>A</t>
        </is>
      </c>
      <c r="G261" s="11" t="inlineStr">
        <is>
          <t>IEC 61850 or Modbus TCP</t>
        </is>
      </c>
      <c r="H261" s="11" t="inlineStr">
        <is>
          <t>-</t>
        </is>
      </c>
      <c r="I261" s="11" t="inlineStr">
        <is>
          <t>-</t>
        </is>
      </c>
      <c r="J261" s="11" t="inlineStr">
        <is>
          <t>-</t>
        </is>
      </c>
      <c r="K261" s="11" t="n"/>
    </row>
    <row r="262">
      <c r="A262" s="11" t="inlineStr">
        <is>
          <t>AH4-I-E</t>
        </is>
      </c>
      <c r="B262" s="11" t="inlineStr">
        <is>
          <t>11 kV protection relay AH4</t>
        </is>
      </c>
      <c r="C262" s="11" t="inlineStr">
        <is>
          <t>Earth current</t>
        </is>
      </c>
      <c r="D262" s="11" t="inlineStr">
        <is>
          <t>Read</t>
        </is>
      </c>
      <c r="E262" s="11" t="inlineStr">
        <is>
          <t>Measured</t>
        </is>
      </c>
      <c r="F262" s="11" t="inlineStr">
        <is>
          <t>A</t>
        </is>
      </c>
      <c r="G262" s="11" t="inlineStr">
        <is>
          <t>IEC 61850 or Modbus TCP</t>
        </is>
      </c>
      <c r="H262" s="11" t="inlineStr">
        <is>
          <t>-</t>
        </is>
      </c>
      <c r="I262" s="11" t="inlineStr">
        <is>
          <t>-</t>
        </is>
      </c>
      <c r="J262" s="11" t="inlineStr">
        <is>
          <t>-</t>
        </is>
      </c>
      <c r="K262" s="11" t="n"/>
    </row>
    <row r="263">
      <c r="A263" s="11" t="inlineStr">
        <is>
          <t>AH4-U-L1</t>
        </is>
      </c>
      <c r="B263" s="11" t="inlineStr">
        <is>
          <t>11 kV protection relay AH4</t>
        </is>
      </c>
      <c r="C263" s="11" t="inlineStr">
        <is>
          <t>Voltage L1, L2, L3 (3 points)</t>
        </is>
      </c>
      <c r="D263" s="11" t="inlineStr">
        <is>
          <t>Read</t>
        </is>
      </c>
      <c r="E263" s="11" t="inlineStr">
        <is>
          <t>Measured</t>
        </is>
      </c>
      <c r="F263" s="11" t="inlineStr">
        <is>
          <t>kV</t>
        </is>
      </c>
      <c r="G263" s="11" t="inlineStr">
        <is>
          <t>IEC 61850 or Modbus TCP</t>
        </is>
      </c>
      <c r="H263" s="11" t="inlineStr">
        <is>
          <t>-</t>
        </is>
      </c>
      <c r="I263" s="11" t="inlineStr">
        <is>
          <t>-</t>
        </is>
      </c>
      <c r="J263" s="11" t="inlineStr">
        <is>
          <t>-</t>
        </is>
      </c>
      <c r="K263" s="11" t="n"/>
    </row>
    <row r="264">
      <c r="A264" s="11" t="inlineStr">
        <is>
          <t>AH4-U-L2</t>
        </is>
      </c>
      <c r="B264" s="11" t="inlineStr">
        <is>
          <t>11 kV protection relay AH4</t>
        </is>
      </c>
      <c r="C264" s="11" t="inlineStr">
        <is>
          <t>Voltage L1, L2, L3 (3 points)</t>
        </is>
      </c>
      <c r="D264" s="11" t="inlineStr">
        <is>
          <t>Read</t>
        </is>
      </c>
      <c r="E264" s="11" t="inlineStr">
        <is>
          <t>Measured</t>
        </is>
      </c>
      <c r="F264" s="11" t="inlineStr">
        <is>
          <t>kV</t>
        </is>
      </c>
      <c r="G264" s="11" t="inlineStr">
        <is>
          <t>IEC 61850 or Modbus TCP</t>
        </is>
      </c>
      <c r="H264" s="11" t="inlineStr">
        <is>
          <t>-</t>
        </is>
      </c>
      <c r="I264" s="11" t="inlineStr">
        <is>
          <t>-</t>
        </is>
      </c>
      <c r="J264" s="11" t="inlineStr">
        <is>
          <t>-</t>
        </is>
      </c>
      <c r="K264" s="11" t="n"/>
    </row>
    <row r="265">
      <c r="A265" s="11" t="inlineStr">
        <is>
          <t>AH4-U-L3</t>
        </is>
      </c>
      <c r="B265" s="11" t="inlineStr">
        <is>
          <t>11 kV protection relay AH4</t>
        </is>
      </c>
      <c r="C265" s="11" t="inlineStr">
        <is>
          <t>Voltage L1, L2, L3 (3 points)</t>
        </is>
      </c>
      <c r="D265" s="11" t="inlineStr">
        <is>
          <t>Read</t>
        </is>
      </c>
      <c r="E265" s="11" t="inlineStr">
        <is>
          <t>Measured</t>
        </is>
      </c>
      <c r="F265" s="11" t="inlineStr">
        <is>
          <t>kV</t>
        </is>
      </c>
      <c r="G265" s="11" t="inlineStr">
        <is>
          <t>IEC 61850 or Modbus TCP</t>
        </is>
      </c>
      <c r="H265" s="11" t="inlineStr">
        <is>
          <t>-</t>
        </is>
      </c>
      <c r="I265" s="11" t="inlineStr">
        <is>
          <t>-</t>
        </is>
      </c>
      <c r="J265" s="11" t="inlineStr">
        <is>
          <t>-</t>
        </is>
      </c>
      <c r="K265" s="11" t="n"/>
    </row>
    <row r="266">
      <c r="A266" s="11" t="inlineStr">
        <is>
          <t>AH4-P</t>
        </is>
      </c>
      <c r="B266" s="11" t="inlineStr">
        <is>
          <t>11 kV protection relay AH4</t>
        </is>
      </c>
      <c r="C266" s="11" t="inlineStr">
        <is>
          <t>Active power</t>
        </is>
      </c>
      <c r="D266" s="11" t="inlineStr">
        <is>
          <t>Read</t>
        </is>
      </c>
      <c r="E266" s="11" t="inlineStr">
        <is>
          <t>Measured</t>
        </is>
      </c>
      <c r="F266" s="11" t="inlineStr">
        <is>
          <t>kW</t>
        </is>
      </c>
      <c r="G266" s="11" t="inlineStr">
        <is>
          <t>IEC 61850 or Modbus TCP</t>
        </is>
      </c>
      <c r="H266" s="11" t="inlineStr">
        <is>
          <t>-</t>
        </is>
      </c>
      <c r="I266" s="11" t="inlineStr">
        <is>
          <t>-</t>
        </is>
      </c>
      <c r="J266" s="11" t="inlineStr">
        <is>
          <t>-</t>
        </is>
      </c>
      <c r="K266" s="11" t="n"/>
    </row>
    <row r="267">
      <c r="A267" s="11" t="inlineStr">
        <is>
          <t>AH4-Q</t>
        </is>
      </c>
      <c r="B267" s="11" t="inlineStr">
        <is>
          <t>11 kV protection relay AH4</t>
        </is>
      </c>
      <c r="C267" s="11" t="inlineStr">
        <is>
          <t>Reactive power</t>
        </is>
      </c>
      <c r="D267" s="11" t="inlineStr">
        <is>
          <t>Read</t>
        </is>
      </c>
      <c r="E267" s="11" t="inlineStr">
        <is>
          <t>Measured</t>
        </is>
      </c>
      <c r="F267" s="11" t="inlineStr">
        <is>
          <t>kvar</t>
        </is>
      </c>
      <c r="G267" s="11" t="inlineStr">
        <is>
          <t>IEC 61850 or Modbus TCP</t>
        </is>
      </c>
      <c r="H267" s="11" t="inlineStr">
        <is>
          <t>-</t>
        </is>
      </c>
      <c r="I267" s="11" t="inlineStr">
        <is>
          <t>-</t>
        </is>
      </c>
      <c r="J267" s="11" t="inlineStr">
        <is>
          <t>-</t>
        </is>
      </c>
      <c r="K267" s="11" t="n"/>
    </row>
    <row r="268">
      <c r="A268" s="11" t="inlineStr">
        <is>
          <t>AH4-PF</t>
        </is>
      </c>
      <c r="B268" s="11" t="inlineStr">
        <is>
          <t>11 kV protection relay AH4</t>
        </is>
      </c>
      <c r="C268" s="11" t="inlineStr">
        <is>
          <t>Power factor</t>
        </is>
      </c>
      <c r="D268" s="11" t="inlineStr">
        <is>
          <t>Read</t>
        </is>
      </c>
      <c r="E268" s="11" t="inlineStr">
        <is>
          <t>Measured</t>
        </is>
      </c>
      <c r="F268" s="11" t="inlineStr">
        <is>
          <t>-</t>
        </is>
      </c>
      <c r="G268" s="11" t="inlineStr">
        <is>
          <t>IEC 61850 or Modbus TCP</t>
        </is>
      </c>
      <c r="H268" s="11" t="inlineStr">
        <is>
          <t>-</t>
        </is>
      </c>
      <c r="I268" s="11" t="inlineStr">
        <is>
          <t>-</t>
        </is>
      </c>
      <c r="J268" s="11" t="inlineStr">
        <is>
          <t>-</t>
        </is>
      </c>
      <c r="K268" s="11" t="n"/>
    </row>
    <row r="269">
      <c r="A269" s="11" t="inlineStr">
        <is>
          <t>AH4-F</t>
        </is>
      </c>
      <c r="B269" s="11" t="inlineStr">
        <is>
          <t>11 kV protection relay AH4</t>
        </is>
      </c>
      <c r="C269" s="11" t="inlineStr">
        <is>
          <t>Frequency</t>
        </is>
      </c>
      <c r="D269" s="11" t="inlineStr">
        <is>
          <t>Read</t>
        </is>
      </c>
      <c r="E269" s="11" t="inlineStr">
        <is>
          <t>Measured</t>
        </is>
      </c>
      <c r="F269" s="11" t="inlineStr">
        <is>
          <t>Hz</t>
        </is>
      </c>
      <c r="G269" s="11" t="inlineStr">
        <is>
          <t>IEC 61850 or Modbus TCP</t>
        </is>
      </c>
      <c r="H269" s="11" t="inlineStr">
        <is>
          <t>-</t>
        </is>
      </c>
      <c r="I269" s="11" t="inlineStr">
        <is>
          <t>-</t>
        </is>
      </c>
      <c r="J269" s="11" t="inlineStr">
        <is>
          <t>-</t>
        </is>
      </c>
      <c r="K269" s="11" t="n"/>
    </row>
    <row r="270">
      <c r="A270" s="11" t="inlineStr">
        <is>
          <t>AH4-E-IMP</t>
        </is>
      </c>
      <c r="B270" s="11" t="inlineStr">
        <is>
          <t>11 kV protection relay AH4</t>
        </is>
      </c>
      <c r="C270" s="11" t="inlineStr">
        <is>
          <t>Energy import</t>
        </is>
      </c>
      <c r="D270" s="11" t="inlineStr">
        <is>
          <t>Read</t>
        </is>
      </c>
      <c r="E270" s="11" t="inlineStr">
        <is>
          <t>Counter</t>
        </is>
      </c>
      <c r="F270" s="11" t="inlineStr">
        <is>
          <t>MWh</t>
        </is>
      </c>
      <c r="G270" s="11" t="inlineStr">
        <is>
          <t>IEC 61850 or Modbus TCP</t>
        </is>
      </c>
      <c r="H270" s="11" t="inlineStr">
        <is>
          <t>-</t>
        </is>
      </c>
      <c r="I270" s="11" t="inlineStr">
        <is>
          <t>-</t>
        </is>
      </c>
      <c r="J270" s="11" t="inlineStr">
        <is>
          <t>-</t>
        </is>
      </c>
      <c r="K270" s="11" t="n"/>
    </row>
    <row r="271">
      <c r="A271" s="11" t="inlineStr">
        <is>
          <t>AH4-E-EXP</t>
        </is>
      </c>
      <c r="B271" s="11" t="inlineStr">
        <is>
          <t>11 kV protection relay AH4</t>
        </is>
      </c>
      <c r="C271" s="11" t="inlineStr">
        <is>
          <t>Energy export</t>
        </is>
      </c>
      <c r="D271" s="11" t="inlineStr">
        <is>
          <t>Read</t>
        </is>
      </c>
      <c r="E271" s="11" t="inlineStr">
        <is>
          <t>Counter</t>
        </is>
      </c>
      <c r="F271" s="11" t="inlineStr">
        <is>
          <t>MWh</t>
        </is>
      </c>
      <c r="G271" s="11" t="inlineStr">
        <is>
          <t>IEC 61850 or Modbus TCP</t>
        </is>
      </c>
      <c r="H271" s="11" t="inlineStr">
        <is>
          <t>-</t>
        </is>
      </c>
      <c r="I271" s="11" t="inlineStr">
        <is>
          <t>-</t>
        </is>
      </c>
      <c r="J271" s="11" t="inlineStr">
        <is>
          <t>-</t>
        </is>
      </c>
      <c r="K271" s="11" t="n"/>
    </row>
    <row r="272">
      <c r="A272" s="11" t="inlineStr">
        <is>
          <t>AH4-CB-POS</t>
        </is>
      </c>
      <c r="B272" s="11" t="inlineStr">
        <is>
          <t>11 kV protection relay AH4</t>
        </is>
      </c>
      <c r="C272" s="11" t="inlineStr">
        <is>
          <t>Breaker position</t>
        </is>
      </c>
      <c r="D272" s="11" t="inlineStr">
        <is>
          <t>Read</t>
        </is>
      </c>
      <c r="E272" s="11" t="inlineStr">
        <is>
          <t>Double point</t>
        </is>
      </c>
      <c r="F272" s="11" t="inlineStr">
        <is>
          <t>-</t>
        </is>
      </c>
      <c r="G272" s="11" t="inlineStr">
        <is>
          <t>IEC 61850 or Modbus TCP</t>
        </is>
      </c>
      <c r="H272" s="11" t="inlineStr">
        <is>
          <t>Status</t>
        </is>
      </c>
      <c r="I272" s="11" t="inlineStr">
        <is>
          <t>-</t>
        </is>
      </c>
      <c r="J272" s="11" t="inlineStr">
        <is>
          <t>-</t>
        </is>
      </c>
      <c r="K272" s="11" t="n"/>
    </row>
    <row r="273">
      <c r="A273" s="11" t="inlineStr">
        <is>
          <t>AH4-TRIP-50</t>
        </is>
      </c>
      <c r="B273" s="11" t="inlineStr">
        <is>
          <t>11 kV protection relay AH4</t>
        </is>
      </c>
      <c r="C273" s="11" t="inlineStr">
        <is>
          <t>Overcurrent trip (50/51)</t>
        </is>
      </c>
      <c r="D273" s="11" t="inlineStr">
        <is>
          <t>Read</t>
        </is>
      </c>
      <c r="E273" s="11" t="inlineStr">
        <is>
          <t>Event</t>
        </is>
      </c>
      <c r="F273" s="11" t="inlineStr">
        <is>
          <t>-</t>
        </is>
      </c>
      <c r="G273" s="11" t="inlineStr">
        <is>
          <t>IEC 61850 or Modbus TCP</t>
        </is>
      </c>
      <c r="H273" s="11" t="inlineStr">
        <is>
          <t>1</t>
        </is>
      </c>
      <c r="I273" s="11" t="inlineStr">
        <is>
          <t>On</t>
        </is>
      </c>
      <c r="J273" s="11" t="inlineStr">
        <is>
          <t>-</t>
        </is>
      </c>
      <c r="K273" s="11" t="n"/>
    </row>
    <row r="274">
      <c r="A274" s="11" t="inlineStr">
        <is>
          <t>AH4-TRIP-50N</t>
        </is>
      </c>
      <c r="B274" s="11" t="inlineStr">
        <is>
          <t>11 kV protection relay AH4</t>
        </is>
      </c>
      <c r="C274" s="11" t="inlineStr">
        <is>
          <t>Earth fault trip (50N/51N)</t>
        </is>
      </c>
      <c r="D274" s="11" t="inlineStr">
        <is>
          <t>Read</t>
        </is>
      </c>
      <c r="E274" s="11" t="inlineStr">
        <is>
          <t>Event</t>
        </is>
      </c>
      <c r="F274" s="11" t="inlineStr">
        <is>
          <t>-</t>
        </is>
      </c>
      <c r="G274" s="11" t="inlineStr">
        <is>
          <t>IEC 61850 or Modbus TCP</t>
        </is>
      </c>
      <c r="H274" s="11" t="inlineStr">
        <is>
          <t>1</t>
        </is>
      </c>
      <c r="I274" s="11" t="inlineStr">
        <is>
          <t>On</t>
        </is>
      </c>
      <c r="J274" s="11" t="inlineStr">
        <is>
          <t>-</t>
        </is>
      </c>
      <c r="K274" s="11" t="n"/>
    </row>
    <row r="275">
      <c r="A275" s="11" t="inlineStr">
        <is>
          <t>AH4-TRIP-27-59</t>
        </is>
      </c>
      <c r="B275" s="11" t="inlineStr">
        <is>
          <t>11 kV protection relay AH4</t>
        </is>
      </c>
      <c r="C275" s="11" t="inlineStr">
        <is>
          <t>Under / overvoltage trip (27/59)</t>
        </is>
      </c>
      <c r="D275" s="11" t="inlineStr">
        <is>
          <t>Read</t>
        </is>
      </c>
      <c r="E275" s="11" t="inlineStr">
        <is>
          <t>Event</t>
        </is>
      </c>
      <c r="F275" s="11" t="inlineStr">
        <is>
          <t>-</t>
        </is>
      </c>
      <c r="G275" s="11" t="inlineStr">
        <is>
          <t>IEC 61850 or Modbus TCP</t>
        </is>
      </c>
      <c r="H275" s="11" t="inlineStr">
        <is>
          <t>1</t>
        </is>
      </c>
      <c r="I275" s="11" t="inlineStr">
        <is>
          <t>On</t>
        </is>
      </c>
      <c r="J275" s="11" t="inlineStr">
        <is>
          <t>-</t>
        </is>
      </c>
      <c r="K275" s="11" t="n"/>
    </row>
    <row r="276">
      <c r="A276" s="11" t="inlineStr">
        <is>
          <t>AH4-TRIP-81</t>
        </is>
      </c>
      <c r="B276" s="11" t="inlineStr">
        <is>
          <t>11 kV protection relay AH4</t>
        </is>
      </c>
      <c r="C276" s="11" t="inlineStr">
        <is>
          <t>Frequency trip (81)</t>
        </is>
      </c>
      <c r="D276" s="11" t="inlineStr">
        <is>
          <t>Read</t>
        </is>
      </c>
      <c r="E276" s="11" t="inlineStr">
        <is>
          <t>Event</t>
        </is>
      </c>
      <c r="F276" s="11" t="inlineStr">
        <is>
          <t>-</t>
        </is>
      </c>
      <c r="G276" s="11" t="inlineStr">
        <is>
          <t>IEC 61850 or Modbus TCP</t>
        </is>
      </c>
      <c r="H276" s="11" t="inlineStr">
        <is>
          <t>1</t>
        </is>
      </c>
      <c r="I276" s="11" t="inlineStr">
        <is>
          <t>On</t>
        </is>
      </c>
      <c r="J276" s="11" t="inlineStr">
        <is>
          <t>-</t>
        </is>
      </c>
      <c r="K276" s="11" t="n"/>
    </row>
    <row r="277">
      <c r="A277" s="11" t="inlineStr">
        <is>
          <t>AH4-RLY-HEALTHY</t>
        </is>
      </c>
      <c r="B277" s="11" t="inlineStr">
        <is>
          <t>11 kV protection relay AH4</t>
        </is>
      </c>
      <c r="C277" s="11" t="inlineStr">
        <is>
          <t>Relay healthy</t>
        </is>
      </c>
      <c r="D277" s="11" t="inlineStr">
        <is>
          <t>Read</t>
        </is>
      </c>
      <c r="E277" s="11" t="inlineStr">
        <is>
          <t>Status</t>
        </is>
      </c>
      <c r="F277" s="11" t="inlineStr">
        <is>
          <t>-</t>
        </is>
      </c>
      <c r="G277" s="11" t="inlineStr">
        <is>
          <t>IEC 61850 or Modbus TCP</t>
        </is>
      </c>
      <c r="H277" s="11" t="inlineStr">
        <is>
          <t>2</t>
        </is>
      </c>
      <c r="I277" s="11" t="inlineStr">
        <is>
          <t>Off</t>
        </is>
      </c>
      <c r="J277" s="11" t="inlineStr">
        <is>
          <t>-</t>
        </is>
      </c>
      <c r="K277" s="11" t="n"/>
    </row>
    <row r="278">
      <c r="A278" s="11" t="inlineStr">
        <is>
          <t>AH4-DREC</t>
        </is>
      </c>
      <c r="B278" s="11" t="inlineStr">
        <is>
          <t>11 kV protection relay AH4</t>
        </is>
      </c>
      <c r="C278" s="11" t="inlineStr">
        <is>
          <t>Disturbance record available</t>
        </is>
      </c>
      <c r="D278" s="11" t="inlineStr">
        <is>
          <t>Read</t>
        </is>
      </c>
      <c r="E278" s="11" t="inlineStr">
        <is>
          <t>Status</t>
        </is>
      </c>
      <c r="F278" s="11" t="inlineStr">
        <is>
          <t>-</t>
        </is>
      </c>
      <c r="G278" s="11" t="inlineStr">
        <is>
          <t>IEC 61850 or Modbus TCP</t>
        </is>
      </c>
      <c r="H278" s="11" t="inlineStr">
        <is>
          <t>3</t>
        </is>
      </c>
      <c r="I278" s="11" t="inlineStr">
        <is>
          <t>On</t>
        </is>
      </c>
      <c r="J278" s="11" t="inlineStr">
        <is>
          <t>-</t>
        </is>
      </c>
      <c r="K278" s="11" t="n"/>
    </row>
    <row r="279">
      <c r="A279" s="11" t="inlineStr">
        <is>
          <t>AH4-TCS-ALM</t>
        </is>
      </c>
      <c r="B279" s="11" t="inlineStr">
        <is>
          <t>11 kV protection relay AH4</t>
        </is>
      </c>
      <c r="C279" s="11" t="inlineStr">
        <is>
          <t>Trip circuit supervision alarm</t>
        </is>
      </c>
      <c r="D279" s="11" t="inlineStr">
        <is>
          <t>Read</t>
        </is>
      </c>
      <c r="E279" s="11" t="inlineStr">
        <is>
          <t>Status</t>
        </is>
      </c>
      <c r="F279" s="11" t="inlineStr">
        <is>
          <t>-</t>
        </is>
      </c>
      <c r="G279" s="11" t="inlineStr">
        <is>
          <t>IEC 61850 or Modbus TCP</t>
        </is>
      </c>
      <c r="H279" s="11" t="inlineStr">
        <is>
          <t>2</t>
        </is>
      </c>
      <c r="I279" s="11" t="inlineStr">
        <is>
          <t>On</t>
        </is>
      </c>
      <c r="J279" s="11" t="inlineStr">
        <is>
          <t>-</t>
        </is>
      </c>
      <c r="K279" s="11" t="inlineStr">
        <is>
          <t>Added rev 1</t>
        </is>
      </c>
    </row>
    <row r="280">
      <c r="A280" s="11" t="inlineStr">
        <is>
          <t>AH4-TRIP-51G</t>
        </is>
      </c>
      <c r="B280" s="11" t="inlineStr">
        <is>
          <t>11 kV protection relay AH4</t>
        </is>
      </c>
      <c r="C280" s="11" t="inlineStr">
        <is>
          <t>Sensitive earth fault trip (51G)</t>
        </is>
      </c>
      <c r="D280" s="11" t="inlineStr">
        <is>
          <t>Read</t>
        </is>
      </c>
      <c r="E280" s="11" t="inlineStr">
        <is>
          <t>Event</t>
        </is>
      </c>
      <c r="F280" s="11" t="inlineStr">
        <is>
          <t>-</t>
        </is>
      </c>
      <c r="G280" s="11" t="inlineStr">
        <is>
          <t>IEC 61850 or Modbus TCP</t>
        </is>
      </c>
      <c r="H280" s="11" t="inlineStr">
        <is>
          <t>1</t>
        </is>
      </c>
      <c r="I280" s="11" t="inlineStr">
        <is>
          <t>On</t>
        </is>
      </c>
      <c r="J280" s="11" t="inlineStr">
        <is>
          <t>-</t>
        </is>
      </c>
      <c r="K280" s="11" t="inlineStr">
        <is>
          <t>Added rev 1. Panels with a zero-sequence CT (all except AH5)</t>
        </is>
      </c>
    </row>
    <row r="281">
      <c r="A281" s="11" t="inlineStr">
        <is>
          <t>AH5-I-L1</t>
        </is>
      </c>
      <c r="B281" s="11" t="inlineStr">
        <is>
          <t>11 kV protection relay AH5</t>
        </is>
      </c>
      <c r="C281" s="11" t="inlineStr">
        <is>
          <t>Phase current L1, L2, L3 (3 points)</t>
        </is>
      </c>
      <c r="D281" s="11" t="inlineStr">
        <is>
          <t>Read</t>
        </is>
      </c>
      <c r="E281" s="11" t="inlineStr">
        <is>
          <t>Measured</t>
        </is>
      </c>
      <c r="F281" s="11" t="inlineStr">
        <is>
          <t>A</t>
        </is>
      </c>
      <c r="G281" s="11" t="inlineStr">
        <is>
          <t>IEC 61850 or Modbus TCP</t>
        </is>
      </c>
      <c r="H281" s="11" t="inlineStr">
        <is>
          <t>-</t>
        </is>
      </c>
      <c r="I281" s="11" t="inlineStr">
        <is>
          <t>-</t>
        </is>
      </c>
      <c r="J281" s="11" t="inlineStr">
        <is>
          <t>-</t>
        </is>
      </c>
      <c r="K281" s="11" t="n"/>
    </row>
    <row r="282">
      <c r="A282" s="11" t="inlineStr">
        <is>
          <t>AH5-I-L2</t>
        </is>
      </c>
      <c r="B282" s="11" t="inlineStr">
        <is>
          <t>11 kV protection relay AH5</t>
        </is>
      </c>
      <c r="C282" s="11" t="inlineStr">
        <is>
          <t>Phase current L1, L2, L3 (3 points)</t>
        </is>
      </c>
      <c r="D282" s="11" t="inlineStr">
        <is>
          <t>Read</t>
        </is>
      </c>
      <c r="E282" s="11" t="inlineStr">
        <is>
          <t>Measured</t>
        </is>
      </c>
      <c r="F282" s="11" t="inlineStr">
        <is>
          <t>A</t>
        </is>
      </c>
      <c r="G282" s="11" t="inlineStr">
        <is>
          <t>IEC 61850 or Modbus TCP</t>
        </is>
      </c>
      <c r="H282" s="11" t="inlineStr">
        <is>
          <t>-</t>
        </is>
      </c>
      <c r="I282" s="11" t="inlineStr">
        <is>
          <t>-</t>
        </is>
      </c>
      <c r="J282" s="11" t="inlineStr">
        <is>
          <t>-</t>
        </is>
      </c>
      <c r="K282" s="11" t="n"/>
    </row>
    <row r="283">
      <c r="A283" s="11" t="inlineStr">
        <is>
          <t>AH5-I-L3</t>
        </is>
      </c>
      <c r="B283" s="11" t="inlineStr">
        <is>
          <t>11 kV protection relay AH5</t>
        </is>
      </c>
      <c r="C283" s="11" t="inlineStr">
        <is>
          <t>Phase current L1, L2, L3 (3 points)</t>
        </is>
      </c>
      <c r="D283" s="11" t="inlineStr">
        <is>
          <t>Read</t>
        </is>
      </c>
      <c r="E283" s="11" t="inlineStr">
        <is>
          <t>Measured</t>
        </is>
      </c>
      <c r="F283" s="11" t="inlineStr">
        <is>
          <t>A</t>
        </is>
      </c>
      <c r="G283" s="11" t="inlineStr">
        <is>
          <t>IEC 61850 or Modbus TCP</t>
        </is>
      </c>
      <c r="H283" s="11" t="inlineStr">
        <is>
          <t>-</t>
        </is>
      </c>
      <c r="I283" s="11" t="inlineStr">
        <is>
          <t>-</t>
        </is>
      </c>
      <c r="J283" s="11" t="inlineStr">
        <is>
          <t>-</t>
        </is>
      </c>
      <c r="K283" s="11" t="n"/>
    </row>
    <row r="284">
      <c r="A284" s="11" t="inlineStr">
        <is>
          <t>AH5-I-E</t>
        </is>
      </c>
      <c r="B284" s="11" t="inlineStr">
        <is>
          <t>11 kV protection relay AH5</t>
        </is>
      </c>
      <c r="C284" s="11" t="inlineStr">
        <is>
          <t>Earth current</t>
        </is>
      </c>
      <c r="D284" s="11" t="inlineStr">
        <is>
          <t>Read</t>
        </is>
      </c>
      <c r="E284" s="11" t="inlineStr">
        <is>
          <t>Measured</t>
        </is>
      </c>
      <c r="F284" s="11" t="inlineStr">
        <is>
          <t>A</t>
        </is>
      </c>
      <c r="G284" s="11" t="inlineStr">
        <is>
          <t>IEC 61850 or Modbus TCP</t>
        </is>
      </c>
      <c r="H284" s="11" t="inlineStr">
        <is>
          <t>-</t>
        </is>
      </c>
      <c r="I284" s="11" t="inlineStr">
        <is>
          <t>-</t>
        </is>
      </c>
      <c r="J284" s="11" t="inlineStr">
        <is>
          <t>-</t>
        </is>
      </c>
      <c r="K284" s="11" t="n"/>
    </row>
    <row r="285">
      <c r="A285" s="11" t="inlineStr">
        <is>
          <t>AH5-U-L1</t>
        </is>
      </c>
      <c r="B285" s="11" t="inlineStr">
        <is>
          <t>11 kV protection relay AH5</t>
        </is>
      </c>
      <c r="C285" s="11" t="inlineStr">
        <is>
          <t>Voltage L1, L2, L3 (3 points)</t>
        </is>
      </c>
      <c r="D285" s="11" t="inlineStr">
        <is>
          <t>Read</t>
        </is>
      </c>
      <c r="E285" s="11" t="inlineStr">
        <is>
          <t>Measured</t>
        </is>
      </c>
      <c r="F285" s="11" t="inlineStr">
        <is>
          <t>kV</t>
        </is>
      </c>
      <c r="G285" s="11" t="inlineStr">
        <is>
          <t>IEC 61850 or Modbus TCP</t>
        </is>
      </c>
      <c r="H285" s="11" t="inlineStr">
        <is>
          <t>-</t>
        </is>
      </c>
      <c r="I285" s="11" t="inlineStr">
        <is>
          <t>-</t>
        </is>
      </c>
      <c r="J285" s="11" t="inlineStr">
        <is>
          <t>-</t>
        </is>
      </c>
      <c r="K285" s="11" t="n"/>
    </row>
    <row r="286">
      <c r="A286" s="11" t="inlineStr">
        <is>
          <t>AH5-U-L2</t>
        </is>
      </c>
      <c r="B286" s="11" t="inlineStr">
        <is>
          <t>11 kV protection relay AH5</t>
        </is>
      </c>
      <c r="C286" s="11" t="inlineStr">
        <is>
          <t>Voltage L1, L2, L3 (3 points)</t>
        </is>
      </c>
      <c r="D286" s="11" t="inlineStr">
        <is>
          <t>Read</t>
        </is>
      </c>
      <c r="E286" s="11" t="inlineStr">
        <is>
          <t>Measured</t>
        </is>
      </c>
      <c r="F286" s="11" t="inlineStr">
        <is>
          <t>kV</t>
        </is>
      </c>
      <c r="G286" s="11" t="inlineStr">
        <is>
          <t>IEC 61850 or Modbus TCP</t>
        </is>
      </c>
      <c r="H286" s="11" t="inlineStr">
        <is>
          <t>-</t>
        </is>
      </c>
      <c r="I286" s="11" t="inlineStr">
        <is>
          <t>-</t>
        </is>
      </c>
      <c r="J286" s="11" t="inlineStr">
        <is>
          <t>-</t>
        </is>
      </c>
      <c r="K286" s="11" t="n"/>
    </row>
    <row r="287">
      <c r="A287" s="11" t="inlineStr">
        <is>
          <t>AH5-U-L3</t>
        </is>
      </c>
      <c r="B287" s="11" t="inlineStr">
        <is>
          <t>11 kV protection relay AH5</t>
        </is>
      </c>
      <c r="C287" s="11" t="inlineStr">
        <is>
          <t>Voltage L1, L2, L3 (3 points)</t>
        </is>
      </c>
      <c r="D287" s="11" t="inlineStr">
        <is>
          <t>Read</t>
        </is>
      </c>
      <c r="E287" s="11" t="inlineStr">
        <is>
          <t>Measured</t>
        </is>
      </c>
      <c r="F287" s="11" t="inlineStr">
        <is>
          <t>kV</t>
        </is>
      </c>
      <c r="G287" s="11" t="inlineStr">
        <is>
          <t>IEC 61850 or Modbus TCP</t>
        </is>
      </c>
      <c r="H287" s="11" t="inlineStr">
        <is>
          <t>-</t>
        </is>
      </c>
      <c r="I287" s="11" t="inlineStr">
        <is>
          <t>-</t>
        </is>
      </c>
      <c r="J287" s="11" t="inlineStr">
        <is>
          <t>-</t>
        </is>
      </c>
      <c r="K287" s="11" t="n"/>
    </row>
    <row r="288">
      <c r="A288" s="11" t="inlineStr">
        <is>
          <t>AH5-P</t>
        </is>
      </c>
      <c r="B288" s="11" t="inlineStr">
        <is>
          <t>11 kV protection relay AH5</t>
        </is>
      </c>
      <c r="C288" s="11" t="inlineStr">
        <is>
          <t>Active power</t>
        </is>
      </c>
      <c r="D288" s="11" t="inlineStr">
        <is>
          <t>Read</t>
        </is>
      </c>
      <c r="E288" s="11" t="inlineStr">
        <is>
          <t>Measured</t>
        </is>
      </c>
      <c r="F288" s="11" t="inlineStr">
        <is>
          <t>kW</t>
        </is>
      </c>
      <c r="G288" s="11" t="inlineStr">
        <is>
          <t>IEC 61850 or Modbus TCP</t>
        </is>
      </c>
      <c r="H288" s="11" t="inlineStr">
        <is>
          <t>-</t>
        </is>
      </c>
      <c r="I288" s="11" t="inlineStr">
        <is>
          <t>-</t>
        </is>
      </c>
      <c r="J288" s="11" t="inlineStr">
        <is>
          <t>-</t>
        </is>
      </c>
      <c r="K288" s="11" t="n"/>
    </row>
    <row r="289">
      <c r="A289" s="11" t="inlineStr">
        <is>
          <t>AH5-Q</t>
        </is>
      </c>
      <c r="B289" s="11" t="inlineStr">
        <is>
          <t>11 kV protection relay AH5</t>
        </is>
      </c>
      <c r="C289" s="11" t="inlineStr">
        <is>
          <t>Reactive power</t>
        </is>
      </c>
      <c r="D289" s="11" t="inlineStr">
        <is>
          <t>Read</t>
        </is>
      </c>
      <c r="E289" s="11" t="inlineStr">
        <is>
          <t>Measured</t>
        </is>
      </c>
      <c r="F289" s="11" t="inlineStr">
        <is>
          <t>kvar</t>
        </is>
      </c>
      <c r="G289" s="11" t="inlineStr">
        <is>
          <t>IEC 61850 or Modbus TCP</t>
        </is>
      </c>
      <c r="H289" s="11" t="inlineStr">
        <is>
          <t>-</t>
        </is>
      </c>
      <c r="I289" s="11" t="inlineStr">
        <is>
          <t>-</t>
        </is>
      </c>
      <c r="J289" s="11" t="inlineStr">
        <is>
          <t>-</t>
        </is>
      </c>
      <c r="K289" s="11" t="n"/>
    </row>
    <row r="290">
      <c r="A290" s="11" t="inlineStr">
        <is>
          <t>AH5-PF</t>
        </is>
      </c>
      <c r="B290" s="11" t="inlineStr">
        <is>
          <t>11 kV protection relay AH5</t>
        </is>
      </c>
      <c r="C290" s="11" t="inlineStr">
        <is>
          <t>Power factor</t>
        </is>
      </c>
      <c r="D290" s="11" t="inlineStr">
        <is>
          <t>Read</t>
        </is>
      </c>
      <c r="E290" s="11" t="inlineStr">
        <is>
          <t>Measured</t>
        </is>
      </c>
      <c r="F290" s="11" t="inlineStr">
        <is>
          <t>-</t>
        </is>
      </c>
      <c r="G290" s="11" t="inlineStr">
        <is>
          <t>IEC 61850 or Modbus TCP</t>
        </is>
      </c>
      <c r="H290" s="11" t="inlineStr">
        <is>
          <t>-</t>
        </is>
      </c>
      <c r="I290" s="11" t="inlineStr">
        <is>
          <t>-</t>
        </is>
      </c>
      <c r="J290" s="11" t="inlineStr">
        <is>
          <t>-</t>
        </is>
      </c>
      <c r="K290" s="11" t="n"/>
    </row>
    <row r="291">
      <c r="A291" s="11" t="inlineStr">
        <is>
          <t>AH5-F</t>
        </is>
      </c>
      <c r="B291" s="11" t="inlineStr">
        <is>
          <t>11 kV protection relay AH5</t>
        </is>
      </c>
      <c r="C291" s="11" t="inlineStr">
        <is>
          <t>Frequency</t>
        </is>
      </c>
      <c r="D291" s="11" t="inlineStr">
        <is>
          <t>Read</t>
        </is>
      </c>
      <c r="E291" s="11" t="inlineStr">
        <is>
          <t>Measured</t>
        </is>
      </c>
      <c r="F291" s="11" t="inlineStr">
        <is>
          <t>Hz</t>
        </is>
      </c>
      <c r="G291" s="11" t="inlineStr">
        <is>
          <t>IEC 61850 or Modbus TCP</t>
        </is>
      </c>
      <c r="H291" s="11" t="inlineStr">
        <is>
          <t>-</t>
        </is>
      </c>
      <c r="I291" s="11" t="inlineStr">
        <is>
          <t>-</t>
        </is>
      </c>
      <c r="J291" s="11" t="inlineStr">
        <is>
          <t>-</t>
        </is>
      </c>
      <c r="K291" s="11" t="n"/>
    </row>
    <row r="292">
      <c r="A292" s="11" t="inlineStr">
        <is>
          <t>AH5-E-IMP</t>
        </is>
      </c>
      <c r="B292" s="11" t="inlineStr">
        <is>
          <t>11 kV protection relay AH5</t>
        </is>
      </c>
      <c r="C292" s="11" t="inlineStr">
        <is>
          <t>Energy import</t>
        </is>
      </c>
      <c r="D292" s="11" t="inlineStr">
        <is>
          <t>Read</t>
        </is>
      </c>
      <c r="E292" s="11" t="inlineStr">
        <is>
          <t>Counter</t>
        </is>
      </c>
      <c r="F292" s="11" t="inlineStr">
        <is>
          <t>MWh</t>
        </is>
      </c>
      <c r="G292" s="11" t="inlineStr">
        <is>
          <t>IEC 61850 or Modbus TCP</t>
        </is>
      </c>
      <c r="H292" s="11" t="inlineStr">
        <is>
          <t>-</t>
        </is>
      </c>
      <c r="I292" s="11" t="inlineStr">
        <is>
          <t>-</t>
        </is>
      </c>
      <c r="J292" s="11" t="inlineStr">
        <is>
          <t>-</t>
        </is>
      </c>
      <c r="K292" s="11" t="n"/>
    </row>
    <row r="293">
      <c r="A293" s="11" t="inlineStr">
        <is>
          <t>AH5-E-EXP</t>
        </is>
      </c>
      <c r="B293" s="11" t="inlineStr">
        <is>
          <t>11 kV protection relay AH5</t>
        </is>
      </c>
      <c r="C293" s="11" t="inlineStr">
        <is>
          <t>Energy export</t>
        </is>
      </c>
      <c r="D293" s="11" t="inlineStr">
        <is>
          <t>Read</t>
        </is>
      </c>
      <c r="E293" s="11" t="inlineStr">
        <is>
          <t>Counter</t>
        </is>
      </c>
      <c r="F293" s="11" t="inlineStr">
        <is>
          <t>MWh</t>
        </is>
      </c>
      <c r="G293" s="11" t="inlineStr">
        <is>
          <t>IEC 61850 or Modbus TCP</t>
        </is>
      </c>
      <c r="H293" s="11" t="inlineStr">
        <is>
          <t>-</t>
        </is>
      </c>
      <c r="I293" s="11" t="inlineStr">
        <is>
          <t>-</t>
        </is>
      </c>
      <c r="J293" s="11" t="inlineStr">
        <is>
          <t>-</t>
        </is>
      </c>
      <c r="K293" s="11" t="n"/>
    </row>
    <row r="294">
      <c r="A294" s="11" t="inlineStr">
        <is>
          <t>AH5-CB-POS</t>
        </is>
      </c>
      <c r="B294" s="11" t="inlineStr">
        <is>
          <t>11 kV protection relay AH5</t>
        </is>
      </c>
      <c r="C294" s="11" t="inlineStr">
        <is>
          <t>Breaker position</t>
        </is>
      </c>
      <c r="D294" s="11" t="inlineStr">
        <is>
          <t>Read</t>
        </is>
      </c>
      <c r="E294" s="11" t="inlineStr">
        <is>
          <t>Double point</t>
        </is>
      </c>
      <c r="F294" s="11" t="inlineStr">
        <is>
          <t>-</t>
        </is>
      </c>
      <c r="G294" s="11" t="inlineStr">
        <is>
          <t>IEC 61850 or Modbus TCP</t>
        </is>
      </c>
      <c r="H294" s="11" t="inlineStr">
        <is>
          <t>Status</t>
        </is>
      </c>
      <c r="I294" s="11" t="inlineStr">
        <is>
          <t>-</t>
        </is>
      </c>
      <c r="J294" s="11" t="inlineStr">
        <is>
          <t>-</t>
        </is>
      </c>
      <c r="K294" s="11" t="n"/>
    </row>
    <row r="295">
      <c r="A295" s="11" t="inlineStr">
        <is>
          <t>AH5-TRIP-50</t>
        </is>
      </c>
      <c r="B295" s="11" t="inlineStr">
        <is>
          <t>11 kV protection relay AH5</t>
        </is>
      </c>
      <c r="C295" s="11" t="inlineStr">
        <is>
          <t>Overcurrent trip (50/51)</t>
        </is>
      </c>
      <c r="D295" s="11" t="inlineStr">
        <is>
          <t>Read</t>
        </is>
      </c>
      <c r="E295" s="11" t="inlineStr">
        <is>
          <t>Event</t>
        </is>
      </c>
      <c r="F295" s="11" t="inlineStr">
        <is>
          <t>-</t>
        </is>
      </c>
      <c r="G295" s="11" t="inlineStr">
        <is>
          <t>IEC 61850 or Modbus TCP</t>
        </is>
      </c>
      <c r="H295" s="11" t="inlineStr">
        <is>
          <t>1</t>
        </is>
      </c>
      <c r="I295" s="11" t="inlineStr">
        <is>
          <t>On</t>
        </is>
      </c>
      <c r="J295" s="11" t="inlineStr">
        <is>
          <t>-</t>
        </is>
      </c>
      <c r="K295" s="11" t="n"/>
    </row>
    <row r="296">
      <c r="A296" s="11" t="inlineStr">
        <is>
          <t>AH5-TRIP-50N</t>
        </is>
      </c>
      <c r="B296" s="11" t="inlineStr">
        <is>
          <t>11 kV protection relay AH5</t>
        </is>
      </c>
      <c r="C296" s="11" t="inlineStr">
        <is>
          <t>Earth fault trip (50N/51N)</t>
        </is>
      </c>
      <c r="D296" s="11" t="inlineStr">
        <is>
          <t>Read</t>
        </is>
      </c>
      <c r="E296" s="11" t="inlineStr">
        <is>
          <t>Event</t>
        </is>
      </c>
      <c r="F296" s="11" t="inlineStr">
        <is>
          <t>-</t>
        </is>
      </c>
      <c r="G296" s="11" t="inlineStr">
        <is>
          <t>IEC 61850 or Modbus TCP</t>
        </is>
      </c>
      <c r="H296" s="11" t="inlineStr">
        <is>
          <t>1</t>
        </is>
      </c>
      <c r="I296" s="11" t="inlineStr">
        <is>
          <t>On</t>
        </is>
      </c>
      <c r="J296" s="11" t="inlineStr">
        <is>
          <t>-</t>
        </is>
      </c>
      <c r="K296" s="11" t="n"/>
    </row>
    <row r="297">
      <c r="A297" s="11" t="inlineStr">
        <is>
          <t>AH5-TRIP-27-59</t>
        </is>
      </c>
      <c r="B297" s="11" t="inlineStr">
        <is>
          <t>11 kV protection relay AH5</t>
        </is>
      </c>
      <c r="C297" s="11" t="inlineStr">
        <is>
          <t>Under / overvoltage trip (27/59)</t>
        </is>
      </c>
      <c r="D297" s="11" t="inlineStr">
        <is>
          <t>Read</t>
        </is>
      </c>
      <c r="E297" s="11" t="inlineStr">
        <is>
          <t>Event</t>
        </is>
      </c>
      <c r="F297" s="11" t="inlineStr">
        <is>
          <t>-</t>
        </is>
      </c>
      <c r="G297" s="11" t="inlineStr">
        <is>
          <t>IEC 61850 or Modbus TCP</t>
        </is>
      </c>
      <c r="H297" s="11" t="inlineStr">
        <is>
          <t>1</t>
        </is>
      </c>
      <c r="I297" s="11" t="inlineStr">
        <is>
          <t>On</t>
        </is>
      </c>
      <c r="J297" s="11" t="inlineStr">
        <is>
          <t>-</t>
        </is>
      </c>
      <c r="K297" s="11" t="n"/>
    </row>
    <row r="298">
      <c r="A298" s="11" t="inlineStr">
        <is>
          <t>AH5-TRIP-81</t>
        </is>
      </c>
      <c r="B298" s="11" t="inlineStr">
        <is>
          <t>11 kV protection relay AH5</t>
        </is>
      </c>
      <c r="C298" s="11" t="inlineStr">
        <is>
          <t>Frequency trip (81)</t>
        </is>
      </c>
      <c r="D298" s="11" t="inlineStr">
        <is>
          <t>Read</t>
        </is>
      </c>
      <c r="E298" s="11" t="inlineStr">
        <is>
          <t>Event</t>
        </is>
      </c>
      <c r="F298" s="11" t="inlineStr">
        <is>
          <t>-</t>
        </is>
      </c>
      <c r="G298" s="11" t="inlineStr">
        <is>
          <t>IEC 61850 or Modbus TCP</t>
        </is>
      </c>
      <c r="H298" s="11" t="inlineStr">
        <is>
          <t>1</t>
        </is>
      </c>
      <c r="I298" s="11" t="inlineStr">
        <is>
          <t>On</t>
        </is>
      </c>
      <c r="J298" s="11" t="inlineStr">
        <is>
          <t>-</t>
        </is>
      </c>
      <c r="K298" s="11" t="n"/>
    </row>
    <row r="299">
      <c r="A299" s="11" t="inlineStr">
        <is>
          <t>AH5-RLY-HEALTHY</t>
        </is>
      </c>
      <c r="B299" s="11" t="inlineStr">
        <is>
          <t>11 kV protection relay AH5</t>
        </is>
      </c>
      <c r="C299" s="11" t="inlineStr">
        <is>
          <t>Relay healthy</t>
        </is>
      </c>
      <c r="D299" s="11" t="inlineStr">
        <is>
          <t>Read</t>
        </is>
      </c>
      <c r="E299" s="11" t="inlineStr">
        <is>
          <t>Status</t>
        </is>
      </c>
      <c r="F299" s="11" t="inlineStr">
        <is>
          <t>-</t>
        </is>
      </c>
      <c r="G299" s="11" t="inlineStr">
        <is>
          <t>IEC 61850 or Modbus TCP</t>
        </is>
      </c>
      <c r="H299" s="11" t="inlineStr">
        <is>
          <t>2</t>
        </is>
      </c>
      <c r="I299" s="11" t="inlineStr">
        <is>
          <t>Off</t>
        </is>
      </c>
      <c r="J299" s="11" t="inlineStr">
        <is>
          <t>-</t>
        </is>
      </c>
      <c r="K299" s="11" t="n"/>
    </row>
    <row r="300">
      <c r="A300" s="11" t="inlineStr">
        <is>
          <t>AH5-DREC</t>
        </is>
      </c>
      <c r="B300" s="11" t="inlineStr">
        <is>
          <t>11 kV protection relay AH5</t>
        </is>
      </c>
      <c r="C300" s="11" t="inlineStr">
        <is>
          <t>Disturbance record available</t>
        </is>
      </c>
      <c r="D300" s="11" t="inlineStr">
        <is>
          <t>Read</t>
        </is>
      </c>
      <c r="E300" s="11" t="inlineStr">
        <is>
          <t>Status</t>
        </is>
      </c>
      <c r="F300" s="11" t="inlineStr">
        <is>
          <t>-</t>
        </is>
      </c>
      <c r="G300" s="11" t="inlineStr">
        <is>
          <t>IEC 61850 or Modbus TCP</t>
        </is>
      </c>
      <c r="H300" s="11" t="inlineStr">
        <is>
          <t>3</t>
        </is>
      </c>
      <c r="I300" s="11" t="inlineStr">
        <is>
          <t>On</t>
        </is>
      </c>
      <c r="J300" s="11" t="inlineStr">
        <is>
          <t>-</t>
        </is>
      </c>
      <c r="K300" s="11" t="n"/>
    </row>
    <row r="301">
      <c r="A301" s="11" t="inlineStr">
        <is>
          <t>AH5-TCS-ALM</t>
        </is>
      </c>
      <c r="B301" s="11" t="inlineStr">
        <is>
          <t>11 kV protection relay AH5</t>
        </is>
      </c>
      <c r="C301" s="11" t="inlineStr">
        <is>
          <t>Trip circuit supervision alarm</t>
        </is>
      </c>
      <c r="D301" s="11" t="inlineStr">
        <is>
          <t>Read</t>
        </is>
      </c>
      <c r="E301" s="11" t="inlineStr">
        <is>
          <t>Status</t>
        </is>
      </c>
      <c r="F301" s="11" t="inlineStr">
        <is>
          <t>-</t>
        </is>
      </c>
      <c r="G301" s="11" t="inlineStr">
        <is>
          <t>IEC 61850 or Modbus TCP</t>
        </is>
      </c>
      <c r="H301" s="11" t="inlineStr">
        <is>
          <t>2</t>
        </is>
      </c>
      <c r="I301" s="11" t="inlineStr">
        <is>
          <t>On</t>
        </is>
      </c>
      <c r="J301" s="11" t="inlineStr">
        <is>
          <t>-</t>
        </is>
      </c>
      <c r="K301" s="11" t="inlineStr">
        <is>
          <t>Added rev 1</t>
        </is>
      </c>
    </row>
    <row r="302">
      <c r="A302" s="11" t="inlineStr">
        <is>
          <t>AH6-I-L1</t>
        </is>
      </c>
      <c r="B302" s="11" t="inlineStr">
        <is>
          <t>11 kV protection relay AH6</t>
        </is>
      </c>
      <c r="C302" s="11" t="inlineStr">
        <is>
          <t>Phase current L1, L2, L3 (3 points)</t>
        </is>
      </c>
      <c r="D302" s="11" t="inlineStr">
        <is>
          <t>Read</t>
        </is>
      </c>
      <c r="E302" s="11" t="inlineStr">
        <is>
          <t>Measured</t>
        </is>
      </c>
      <c r="F302" s="11" t="inlineStr">
        <is>
          <t>A</t>
        </is>
      </c>
      <c r="G302" s="11" t="inlineStr">
        <is>
          <t>IEC 61850 or Modbus TCP</t>
        </is>
      </c>
      <c r="H302" s="11" t="inlineStr">
        <is>
          <t>-</t>
        </is>
      </c>
      <c r="I302" s="11" t="inlineStr">
        <is>
          <t>-</t>
        </is>
      </c>
      <c r="J302" s="11" t="inlineStr">
        <is>
          <t>-</t>
        </is>
      </c>
      <c r="K302" s="11" t="n"/>
    </row>
    <row r="303">
      <c r="A303" s="11" t="inlineStr">
        <is>
          <t>AH6-I-L2</t>
        </is>
      </c>
      <c r="B303" s="11" t="inlineStr">
        <is>
          <t>11 kV protection relay AH6</t>
        </is>
      </c>
      <c r="C303" s="11" t="inlineStr">
        <is>
          <t>Phase current L1, L2, L3 (3 points)</t>
        </is>
      </c>
      <c r="D303" s="11" t="inlineStr">
        <is>
          <t>Read</t>
        </is>
      </c>
      <c r="E303" s="11" t="inlineStr">
        <is>
          <t>Measured</t>
        </is>
      </c>
      <c r="F303" s="11" t="inlineStr">
        <is>
          <t>A</t>
        </is>
      </c>
      <c r="G303" s="11" t="inlineStr">
        <is>
          <t>IEC 61850 or Modbus TCP</t>
        </is>
      </c>
      <c r="H303" s="11" t="inlineStr">
        <is>
          <t>-</t>
        </is>
      </c>
      <c r="I303" s="11" t="inlineStr">
        <is>
          <t>-</t>
        </is>
      </c>
      <c r="J303" s="11" t="inlineStr">
        <is>
          <t>-</t>
        </is>
      </c>
      <c r="K303" s="11" t="n"/>
    </row>
    <row r="304">
      <c r="A304" s="11" t="inlineStr">
        <is>
          <t>AH6-I-L3</t>
        </is>
      </c>
      <c r="B304" s="11" t="inlineStr">
        <is>
          <t>11 kV protection relay AH6</t>
        </is>
      </c>
      <c r="C304" s="11" t="inlineStr">
        <is>
          <t>Phase current L1, L2, L3 (3 points)</t>
        </is>
      </c>
      <c r="D304" s="11" t="inlineStr">
        <is>
          <t>Read</t>
        </is>
      </c>
      <c r="E304" s="11" t="inlineStr">
        <is>
          <t>Measured</t>
        </is>
      </c>
      <c r="F304" s="11" t="inlineStr">
        <is>
          <t>A</t>
        </is>
      </c>
      <c r="G304" s="11" t="inlineStr">
        <is>
          <t>IEC 61850 or Modbus TCP</t>
        </is>
      </c>
      <c r="H304" s="11" t="inlineStr">
        <is>
          <t>-</t>
        </is>
      </c>
      <c r="I304" s="11" t="inlineStr">
        <is>
          <t>-</t>
        </is>
      </c>
      <c r="J304" s="11" t="inlineStr">
        <is>
          <t>-</t>
        </is>
      </c>
      <c r="K304" s="11" t="n"/>
    </row>
    <row r="305">
      <c r="A305" s="11" t="inlineStr">
        <is>
          <t>AH6-I-E</t>
        </is>
      </c>
      <c r="B305" s="11" t="inlineStr">
        <is>
          <t>11 kV protection relay AH6</t>
        </is>
      </c>
      <c r="C305" s="11" t="inlineStr">
        <is>
          <t>Earth current</t>
        </is>
      </c>
      <c r="D305" s="11" t="inlineStr">
        <is>
          <t>Read</t>
        </is>
      </c>
      <c r="E305" s="11" t="inlineStr">
        <is>
          <t>Measured</t>
        </is>
      </c>
      <c r="F305" s="11" t="inlineStr">
        <is>
          <t>A</t>
        </is>
      </c>
      <c r="G305" s="11" t="inlineStr">
        <is>
          <t>IEC 61850 or Modbus TCP</t>
        </is>
      </c>
      <c r="H305" s="11" t="inlineStr">
        <is>
          <t>-</t>
        </is>
      </c>
      <c r="I305" s="11" t="inlineStr">
        <is>
          <t>-</t>
        </is>
      </c>
      <c r="J305" s="11" t="inlineStr">
        <is>
          <t>-</t>
        </is>
      </c>
      <c r="K305" s="11" t="n"/>
    </row>
    <row r="306">
      <c r="A306" s="11" t="inlineStr">
        <is>
          <t>AH6-U-L1</t>
        </is>
      </c>
      <c r="B306" s="11" t="inlineStr">
        <is>
          <t>11 kV protection relay AH6</t>
        </is>
      </c>
      <c r="C306" s="11" t="inlineStr">
        <is>
          <t>Voltage L1, L2, L3 (3 points)</t>
        </is>
      </c>
      <c r="D306" s="11" t="inlineStr">
        <is>
          <t>Read</t>
        </is>
      </c>
      <c r="E306" s="11" t="inlineStr">
        <is>
          <t>Measured</t>
        </is>
      </c>
      <c r="F306" s="11" t="inlineStr">
        <is>
          <t>kV</t>
        </is>
      </c>
      <c r="G306" s="11" t="inlineStr">
        <is>
          <t>IEC 61850 or Modbus TCP</t>
        </is>
      </c>
      <c r="H306" s="11" t="inlineStr">
        <is>
          <t>-</t>
        </is>
      </c>
      <c r="I306" s="11" t="inlineStr">
        <is>
          <t>-</t>
        </is>
      </c>
      <c r="J306" s="11" t="inlineStr">
        <is>
          <t>-</t>
        </is>
      </c>
      <c r="K306" s="11" t="n"/>
    </row>
    <row r="307">
      <c r="A307" s="11" t="inlineStr">
        <is>
          <t>AH6-U-L2</t>
        </is>
      </c>
      <c r="B307" s="11" t="inlineStr">
        <is>
          <t>11 kV protection relay AH6</t>
        </is>
      </c>
      <c r="C307" s="11" t="inlineStr">
        <is>
          <t>Voltage L1, L2, L3 (3 points)</t>
        </is>
      </c>
      <c r="D307" s="11" t="inlineStr">
        <is>
          <t>Read</t>
        </is>
      </c>
      <c r="E307" s="11" t="inlineStr">
        <is>
          <t>Measured</t>
        </is>
      </c>
      <c r="F307" s="11" t="inlineStr">
        <is>
          <t>kV</t>
        </is>
      </c>
      <c r="G307" s="11" t="inlineStr">
        <is>
          <t>IEC 61850 or Modbus TCP</t>
        </is>
      </c>
      <c r="H307" s="11" t="inlineStr">
        <is>
          <t>-</t>
        </is>
      </c>
      <c r="I307" s="11" t="inlineStr">
        <is>
          <t>-</t>
        </is>
      </c>
      <c r="J307" s="11" t="inlineStr">
        <is>
          <t>-</t>
        </is>
      </c>
      <c r="K307" s="11" t="n"/>
    </row>
    <row r="308">
      <c r="A308" s="11" t="inlineStr">
        <is>
          <t>AH6-U-L3</t>
        </is>
      </c>
      <c r="B308" s="11" t="inlineStr">
        <is>
          <t>11 kV protection relay AH6</t>
        </is>
      </c>
      <c r="C308" s="11" t="inlineStr">
        <is>
          <t>Voltage L1, L2, L3 (3 points)</t>
        </is>
      </c>
      <c r="D308" s="11" t="inlineStr">
        <is>
          <t>Read</t>
        </is>
      </c>
      <c r="E308" s="11" t="inlineStr">
        <is>
          <t>Measured</t>
        </is>
      </c>
      <c r="F308" s="11" t="inlineStr">
        <is>
          <t>kV</t>
        </is>
      </c>
      <c r="G308" s="11" t="inlineStr">
        <is>
          <t>IEC 61850 or Modbus TCP</t>
        </is>
      </c>
      <c r="H308" s="11" t="inlineStr">
        <is>
          <t>-</t>
        </is>
      </c>
      <c r="I308" s="11" t="inlineStr">
        <is>
          <t>-</t>
        </is>
      </c>
      <c r="J308" s="11" t="inlineStr">
        <is>
          <t>-</t>
        </is>
      </c>
      <c r="K308" s="11" t="n"/>
    </row>
    <row r="309">
      <c r="A309" s="11" t="inlineStr">
        <is>
          <t>AH6-P</t>
        </is>
      </c>
      <c r="B309" s="11" t="inlineStr">
        <is>
          <t>11 kV protection relay AH6</t>
        </is>
      </c>
      <c r="C309" s="11" t="inlineStr">
        <is>
          <t>Active power</t>
        </is>
      </c>
      <c r="D309" s="11" t="inlineStr">
        <is>
          <t>Read</t>
        </is>
      </c>
      <c r="E309" s="11" t="inlineStr">
        <is>
          <t>Measured</t>
        </is>
      </c>
      <c r="F309" s="11" t="inlineStr">
        <is>
          <t>kW</t>
        </is>
      </c>
      <c r="G309" s="11" t="inlineStr">
        <is>
          <t>IEC 61850 or Modbus TCP</t>
        </is>
      </c>
      <c r="H309" s="11" t="inlineStr">
        <is>
          <t>-</t>
        </is>
      </c>
      <c r="I309" s="11" t="inlineStr">
        <is>
          <t>-</t>
        </is>
      </c>
      <c r="J309" s="11" t="inlineStr">
        <is>
          <t>-</t>
        </is>
      </c>
      <c r="K309" s="11" t="n"/>
    </row>
    <row r="310">
      <c r="A310" s="11" t="inlineStr">
        <is>
          <t>AH6-Q</t>
        </is>
      </c>
      <c r="B310" s="11" t="inlineStr">
        <is>
          <t>11 kV protection relay AH6</t>
        </is>
      </c>
      <c r="C310" s="11" t="inlineStr">
        <is>
          <t>Reactive power</t>
        </is>
      </c>
      <c r="D310" s="11" t="inlineStr">
        <is>
          <t>Read</t>
        </is>
      </c>
      <c r="E310" s="11" t="inlineStr">
        <is>
          <t>Measured</t>
        </is>
      </c>
      <c r="F310" s="11" t="inlineStr">
        <is>
          <t>kvar</t>
        </is>
      </c>
      <c r="G310" s="11" t="inlineStr">
        <is>
          <t>IEC 61850 or Modbus TCP</t>
        </is>
      </c>
      <c r="H310" s="11" t="inlineStr">
        <is>
          <t>-</t>
        </is>
      </c>
      <c r="I310" s="11" t="inlineStr">
        <is>
          <t>-</t>
        </is>
      </c>
      <c r="J310" s="11" t="inlineStr">
        <is>
          <t>-</t>
        </is>
      </c>
      <c r="K310" s="11" t="n"/>
    </row>
    <row r="311">
      <c r="A311" s="11" t="inlineStr">
        <is>
          <t>AH6-PF</t>
        </is>
      </c>
      <c r="B311" s="11" t="inlineStr">
        <is>
          <t>11 kV protection relay AH6</t>
        </is>
      </c>
      <c r="C311" s="11" t="inlineStr">
        <is>
          <t>Power factor</t>
        </is>
      </c>
      <c r="D311" s="11" t="inlineStr">
        <is>
          <t>Read</t>
        </is>
      </c>
      <c r="E311" s="11" t="inlineStr">
        <is>
          <t>Measured</t>
        </is>
      </c>
      <c r="F311" s="11" t="inlineStr">
        <is>
          <t>-</t>
        </is>
      </c>
      <c r="G311" s="11" t="inlineStr">
        <is>
          <t>IEC 61850 or Modbus TCP</t>
        </is>
      </c>
      <c r="H311" s="11" t="inlineStr">
        <is>
          <t>-</t>
        </is>
      </c>
      <c r="I311" s="11" t="inlineStr">
        <is>
          <t>-</t>
        </is>
      </c>
      <c r="J311" s="11" t="inlineStr">
        <is>
          <t>-</t>
        </is>
      </c>
      <c r="K311" s="11" t="n"/>
    </row>
    <row r="312">
      <c r="A312" s="11" t="inlineStr">
        <is>
          <t>AH6-F</t>
        </is>
      </c>
      <c r="B312" s="11" t="inlineStr">
        <is>
          <t>11 kV protection relay AH6</t>
        </is>
      </c>
      <c r="C312" s="11" t="inlineStr">
        <is>
          <t>Frequency</t>
        </is>
      </c>
      <c r="D312" s="11" t="inlineStr">
        <is>
          <t>Read</t>
        </is>
      </c>
      <c r="E312" s="11" t="inlineStr">
        <is>
          <t>Measured</t>
        </is>
      </c>
      <c r="F312" s="11" t="inlineStr">
        <is>
          <t>Hz</t>
        </is>
      </c>
      <c r="G312" s="11" t="inlineStr">
        <is>
          <t>IEC 61850 or Modbus TCP</t>
        </is>
      </c>
      <c r="H312" s="11" t="inlineStr">
        <is>
          <t>-</t>
        </is>
      </c>
      <c r="I312" s="11" t="inlineStr">
        <is>
          <t>-</t>
        </is>
      </c>
      <c r="J312" s="11" t="inlineStr">
        <is>
          <t>-</t>
        </is>
      </c>
      <c r="K312" s="11" t="n"/>
    </row>
    <row r="313">
      <c r="A313" s="11" t="inlineStr">
        <is>
          <t>AH6-E-IMP</t>
        </is>
      </c>
      <c r="B313" s="11" t="inlineStr">
        <is>
          <t>11 kV protection relay AH6</t>
        </is>
      </c>
      <c r="C313" s="11" t="inlineStr">
        <is>
          <t>Energy import</t>
        </is>
      </c>
      <c r="D313" s="11" t="inlineStr">
        <is>
          <t>Read</t>
        </is>
      </c>
      <c r="E313" s="11" t="inlineStr">
        <is>
          <t>Counter</t>
        </is>
      </c>
      <c r="F313" s="11" t="inlineStr">
        <is>
          <t>MWh</t>
        </is>
      </c>
      <c r="G313" s="11" t="inlineStr">
        <is>
          <t>IEC 61850 or Modbus TCP</t>
        </is>
      </c>
      <c r="H313" s="11" t="inlineStr">
        <is>
          <t>-</t>
        </is>
      </c>
      <c r="I313" s="11" t="inlineStr">
        <is>
          <t>-</t>
        </is>
      </c>
      <c r="J313" s="11" t="inlineStr">
        <is>
          <t>-</t>
        </is>
      </c>
      <c r="K313" s="11" t="n"/>
    </row>
    <row r="314">
      <c r="A314" s="11" t="inlineStr">
        <is>
          <t>AH6-E-EXP</t>
        </is>
      </c>
      <c r="B314" s="11" t="inlineStr">
        <is>
          <t>11 kV protection relay AH6</t>
        </is>
      </c>
      <c r="C314" s="11" t="inlineStr">
        <is>
          <t>Energy export</t>
        </is>
      </c>
      <c r="D314" s="11" t="inlineStr">
        <is>
          <t>Read</t>
        </is>
      </c>
      <c r="E314" s="11" t="inlineStr">
        <is>
          <t>Counter</t>
        </is>
      </c>
      <c r="F314" s="11" t="inlineStr">
        <is>
          <t>MWh</t>
        </is>
      </c>
      <c r="G314" s="11" t="inlineStr">
        <is>
          <t>IEC 61850 or Modbus TCP</t>
        </is>
      </c>
      <c r="H314" s="11" t="inlineStr">
        <is>
          <t>-</t>
        </is>
      </c>
      <c r="I314" s="11" t="inlineStr">
        <is>
          <t>-</t>
        </is>
      </c>
      <c r="J314" s="11" t="inlineStr">
        <is>
          <t>-</t>
        </is>
      </c>
      <c r="K314" s="11" t="n"/>
    </row>
    <row r="315">
      <c r="A315" s="11" t="inlineStr">
        <is>
          <t>AH6-CB-POS</t>
        </is>
      </c>
      <c r="B315" s="11" t="inlineStr">
        <is>
          <t>11 kV protection relay AH6</t>
        </is>
      </c>
      <c r="C315" s="11" t="inlineStr">
        <is>
          <t>Breaker position</t>
        </is>
      </c>
      <c r="D315" s="11" t="inlineStr">
        <is>
          <t>Read</t>
        </is>
      </c>
      <c r="E315" s="11" t="inlineStr">
        <is>
          <t>Double point</t>
        </is>
      </c>
      <c r="F315" s="11" t="inlineStr">
        <is>
          <t>-</t>
        </is>
      </c>
      <c r="G315" s="11" t="inlineStr">
        <is>
          <t>IEC 61850 or Modbus TCP</t>
        </is>
      </c>
      <c r="H315" s="11" t="inlineStr">
        <is>
          <t>Status</t>
        </is>
      </c>
      <c r="I315" s="11" t="inlineStr">
        <is>
          <t>-</t>
        </is>
      </c>
      <c r="J315" s="11" t="inlineStr">
        <is>
          <t>-</t>
        </is>
      </c>
      <c r="K315" s="11" t="n"/>
    </row>
    <row r="316">
      <c r="A316" s="11" t="inlineStr">
        <is>
          <t>AH6-TRIP-50</t>
        </is>
      </c>
      <c r="B316" s="11" t="inlineStr">
        <is>
          <t>11 kV protection relay AH6</t>
        </is>
      </c>
      <c r="C316" s="11" t="inlineStr">
        <is>
          <t>Overcurrent trip (50/51)</t>
        </is>
      </c>
      <c r="D316" s="11" t="inlineStr">
        <is>
          <t>Read</t>
        </is>
      </c>
      <c r="E316" s="11" t="inlineStr">
        <is>
          <t>Event</t>
        </is>
      </c>
      <c r="F316" s="11" t="inlineStr">
        <is>
          <t>-</t>
        </is>
      </c>
      <c r="G316" s="11" t="inlineStr">
        <is>
          <t>IEC 61850 or Modbus TCP</t>
        </is>
      </c>
      <c r="H316" s="11" t="inlineStr">
        <is>
          <t>1</t>
        </is>
      </c>
      <c r="I316" s="11" t="inlineStr">
        <is>
          <t>On</t>
        </is>
      </c>
      <c r="J316" s="11" t="inlineStr">
        <is>
          <t>-</t>
        </is>
      </c>
      <c r="K316" s="11" t="n"/>
    </row>
    <row r="317">
      <c r="A317" s="11" t="inlineStr">
        <is>
          <t>AH6-TRIP-50N</t>
        </is>
      </c>
      <c r="B317" s="11" t="inlineStr">
        <is>
          <t>11 kV protection relay AH6</t>
        </is>
      </c>
      <c r="C317" s="11" t="inlineStr">
        <is>
          <t>Earth fault trip (50N/51N)</t>
        </is>
      </c>
      <c r="D317" s="11" t="inlineStr">
        <is>
          <t>Read</t>
        </is>
      </c>
      <c r="E317" s="11" t="inlineStr">
        <is>
          <t>Event</t>
        </is>
      </c>
      <c r="F317" s="11" t="inlineStr">
        <is>
          <t>-</t>
        </is>
      </c>
      <c r="G317" s="11" t="inlineStr">
        <is>
          <t>IEC 61850 or Modbus TCP</t>
        </is>
      </c>
      <c r="H317" s="11" t="inlineStr">
        <is>
          <t>1</t>
        </is>
      </c>
      <c r="I317" s="11" t="inlineStr">
        <is>
          <t>On</t>
        </is>
      </c>
      <c r="J317" s="11" t="inlineStr">
        <is>
          <t>-</t>
        </is>
      </c>
      <c r="K317" s="11" t="n"/>
    </row>
    <row r="318">
      <c r="A318" s="11" t="inlineStr">
        <is>
          <t>AH6-TRIP-27-59</t>
        </is>
      </c>
      <c r="B318" s="11" t="inlineStr">
        <is>
          <t>11 kV protection relay AH6</t>
        </is>
      </c>
      <c r="C318" s="11" t="inlineStr">
        <is>
          <t>Under / overvoltage trip (27/59)</t>
        </is>
      </c>
      <c r="D318" s="11" t="inlineStr">
        <is>
          <t>Read</t>
        </is>
      </c>
      <c r="E318" s="11" t="inlineStr">
        <is>
          <t>Event</t>
        </is>
      </c>
      <c r="F318" s="11" t="inlineStr">
        <is>
          <t>-</t>
        </is>
      </c>
      <c r="G318" s="11" t="inlineStr">
        <is>
          <t>IEC 61850 or Modbus TCP</t>
        </is>
      </c>
      <c r="H318" s="11" t="inlineStr">
        <is>
          <t>1</t>
        </is>
      </c>
      <c r="I318" s="11" t="inlineStr">
        <is>
          <t>On</t>
        </is>
      </c>
      <c r="J318" s="11" t="inlineStr">
        <is>
          <t>-</t>
        </is>
      </c>
      <c r="K318" s="11" t="n"/>
    </row>
    <row r="319">
      <c r="A319" s="11" t="inlineStr">
        <is>
          <t>AH6-TRIP-81</t>
        </is>
      </c>
      <c r="B319" s="11" t="inlineStr">
        <is>
          <t>11 kV protection relay AH6</t>
        </is>
      </c>
      <c r="C319" s="11" t="inlineStr">
        <is>
          <t>Frequency trip (81)</t>
        </is>
      </c>
      <c r="D319" s="11" t="inlineStr">
        <is>
          <t>Read</t>
        </is>
      </c>
      <c r="E319" s="11" t="inlineStr">
        <is>
          <t>Event</t>
        </is>
      </c>
      <c r="F319" s="11" t="inlineStr">
        <is>
          <t>-</t>
        </is>
      </c>
      <c r="G319" s="11" t="inlineStr">
        <is>
          <t>IEC 61850 or Modbus TCP</t>
        </is>
      </c>
      <c r="H319" s="11" t="inlineStr">
        <is>
          <t>1</t>
        </is>
      </c>
      <c r="I319" s="11" t="inlineStr">
        <is>
          <t>On</t>
        </is>
      </c>
      <c r="J319" s="11" t="inlineStr">
        <is>
          <t>-</t>
        </is>
      </c>
      <c r="K319" s="11" t="n"/>
    </row>
    <row r="320">
      <c r="A320" s="11" t="inlineStr">
        <is>
          <t>AH6-RLY-HEALTHY</t>
        </is>
      </c>
      <c r="B320" s="11" t="inlineStr">
        <is>
          <t>11 kV protection relay AH6</t>
        </is>
      </c>
      <c r="C320" s="11" t="inlineStr">
        <is>
          <t>Relay healthy</t>
        </is>
      </c>
      <c r="D320" s="11" t="inlineStr">
        <is>
          <t>Read</t>
        </is>
      </c>
      <c r="E320" s="11" t="inlineStr">
        <is>
          <t>Status</t>
        </is>
      </c>
      <c r="F320" s="11" t="inlineStr">
        <is>
          <t>-</t>
        </is>
      </c>
      <c r="G320" s="11" t="inlineStr">
        <is>
          <t>IEC 61850 or Modbus TCP</t>
        </is>
      </c>
      <c r="H320" s="11" t="inlineStr">
        <is>
          <t>2</t>
        </is>
      </c>
      <c r="I320" s="11" t="inlineStr">
        <is>
          <t>Off</t>
        </is>
      </c>
      <c r="J320" s="11" t="inlineStr">
        <is>
          <t>-</t>
        </is>
      </c>
      <c r="K320" s="11" t="n"/>
    </row>
    <row r="321">
      <c r="A321" s="11" t="inlineStr">
        <is>
          <t>AH6-DREC</t>
        </is>
      </c>
      <c r="B321" s="11" t="inlineStr">
        <is>
          <t>11 kV protection relay AH6</t>
        </is>
      </c>
      <c r="C321" s="11" t="inlineStr">
        <is>
          <t>Disturbance record available</t>
        </is>
      </c>
      <c r="D321" s="11" t="inlineStr">
        <is>
          <t>Read</t>
        </is>
      </c>
      <c r="E321" s="11" t="inlineStr">
        <is>
          <t>Status</t>
        </is>
      </c>
      <c r="F321" s="11" t="inlineStr">
        <is>
          <t>-</t>
        </is>
      </c>
      <c r="G321" s="11" t="inlineStr">
        <is>
          <t>IEC 61850 or Modbus TCP</t>
        </is>
      </c>
      <c r="H321" s="11" t="inlineStr">
        <is>
          <t>3</t>
        </is>
      </c>
      <c r="I321" s="11" t="inlineStr">
        <is>
          <t>On</t>
        </is>
      </c>
      <c r="J321" s="11" t="inlineStr">
        <is>
          <t>-</t>
        </is>
      </c>
      <c r="K321" s="11" t="n"/>
    </row>
    <row r="322">
      <c r="A322" s="11" t="inlineStr">
        <is>
          <t>AH6-TCS-ALM</t>
        </is>
      </c>
      <c r="B322" s="11" t="inlineStr">
        <is>
          <t>11 kV protection relay AH6</t>
        </is>
      </c>
      <c r="C322" s="11" t="inlineStr">
        <is>
          <t>Trip circuit supervision alarm</t>
        </is>
      </c>
      <c r="D322" s="11" t="inlineStr">
        <is>
          <t>Read</t>
        </is>
      </c>
      <c r="E322" s="11" t="inlineStr">
        <is>
          <t>Status</t>
        </is>
      </c>
      <c r="F322" s="11" t="inlineStr">
        <is>
          <t>-</t>
        </is>
      </c>
      <c r="G322" s="11" t="inlineStr">
        <is>
          <t>IEC 61850 or Modbus TCP</t>
        </is>
      </c>
      <c r="H322" s="11" t="inlineStr">
        <is>
          <t>2</t>
        </is>
      </c>
      <c r="I322" s="11" t="inlineStr">
        <is>
          <t>On</t>
        </is>
      </c>
      <c r="J322" s="11" t="inlineStr">
        <is>
          <t>-</t>
        </is>
      </c>
      <c r="K322" s="11" t="inlineStr">
        <is>
          <t>Added rev 1</t>
        </is>
      </c>
    </row>
    <row r="323">
      <c r="A323" s="11" t="inlineStr">
        <is>
          <t>AH6-TRIP-51G</t>
        </is>
      </c>
      <c r="B323" s="11" t="inlineStr">
        <is>
          <t>11 kV protection relay AH6</t>
        </is>
      </c>
      <c r="C323" s="11" t="inlineStr">
        <is>
          <t>Sensitive earth fault trip (51G)</t>
        </is>
      </c>
      <c r="D323" s="11" t="inlineStr">
        <is>
          <t>Read</t>
        </is>
      </c>
      <c r="E323" s="11" t="inlineStr">
        <is>
          <t>Event</t>
        </is>
      </c>
      <c r="F323" s="11" t="inlineStr">
        <is>
          <t>-</t>
        </is>
      </c>
      <c r="G323" s="11" t="inlineStr">
        <is>
          <t>IEC 61850 or Modbus TCP</t>
        </is>
      </c>
      <c r="H323" s="11" t="inlineStr">
        <is>
          <t>1</t>
        </is>
      </c>
      <c r="I323" s="11" t="inlineStr">
        <is>
          <t>On</t>
        </is>
      </c>
      <c r="J323" s="11" t="inlineStr">
        <is>
          <t>-</t>
        </is>
      </c>
      <c r="K323" s="11" t="inlineStr">
        <is>
          <t>Added rev 1. Panels with a zero-sequence CT (all except AH5)</t>
        </is>
      </c>
    </row>
    <row r="324">
      <c r="A324" s="11" t="inlineStr">
        <is>
          <t>AH7-I-L1</t>
        </is>
      </c>
      <c r="B324" s="11" t="inlineStr">
        <is>
          <t>11 kV protection relay AH7</t>
        </is>
      </c>
      <c r="C324" s="11" t="inlineStr">
        <is>
          <t>Phase current L1, L2, L3 (3 points)</t>
        </is>
      </c>
      <c r="D324" s="11" t="inlineStr">
        <is>
          <t>Read</t>
        </is>
      </c>
      <c r="E324" s="11" t="inlineStr">
        <is>
          <t>Measured</t>
        </is>
      </c>
      <c r="F324" s="11" t="inlineStr">
        <is>
          <t>A</t>
        </is>
      </c>
      <c r="G324" s="11" t="inlineStr">
        <is>
          <t>IEC 61850 or Modbus TCP</t>
        </is>
      </c>
      <c r="H324" s="11" t="inlineStr">
        <is>
          <t>-</t>
        </is>
      </c>
      <c r="I324" s="11" t="inlineStr">
        <is>
          <t>-</t>
        </is>
      </c>
      <c r="J324" s="11" t="inlineStr">
        <is>
          <t>-</t>
        </is>
      </c>
      <c r="K324" s="11" t="n"/>
    </row>
    <row r="325">
      <c r="A325" s="11" t="inlineStr">
        <is>
          <t>AH7-I-L2</t>
        </is>
      </c>
      <c r="B325" s="11" t="inlineStr">
        <is>
          <t>11 kV protection relay AH7</t>
        </is>
      </c>
      <c r="C325" s="11" t="inlineStr">
        <is>
          <t>Phase current L1, L2, L3 (3 points)</t>
        </is>
      </c>
      <c r="D325" s="11" t="inlineStr">
        <is>
          <t>Read</t>
        </is>
      </c>
      <c r="E325" s="11" t="inlineStr">
        <is>
          <t>Measured</t>
        </is>
      </c>
      <c r="F325" s="11" t="inlineStr">
        <is>
          <t>A</t>
        </is>
      </c>
      <c r="G325" s="11" t="inlineStr">
        <is>
          <t>IEC 61850 or Modbus TCP</t>
        </is>
      </c>
      <c r="H325" s="11" t="inlineStr">
        <is>
          <t>-</t>
        </is>
      </c>
      <c r="I325" s="11" t="inlineStr">
        <is>
          <t>-</t>
        </is>
      </c>
      <c r="J325" s="11" t="inlineStr">
        <is>
          <t>-</t>
        </is>
      </c>
      <c r="K325" s="11" t="n"/>
    </row>
    <row r="326">
      <c r="A326" s="11" t="inlineStr">
        <is>
          <t>AH7-I-L3</t>
        </is>
      </c>
      <c r="B326" s="11" t="inlineStr">
        <is>
          <t>11 kV protection relay AH7</t>
        </is>
      </c>
      <c r="C326" s="11" t="inlineStr">
        <is>
          <t>Phase current L1, L2, L3 (3 points)</t>
        </is>
      </c>
      <c r="D326" s="11" t="inlineStr">
        <is>
          <t>Read</t>
        </is>
      </c>
      <c r="E326" s="11" t="inlineStr">
        <is>
          <t>Measured</t>
        </is>
      </c>
      <c r="F326" s="11" t="inlineStr">
        <is>
          <t>A</t>
        </is>
      </c>
      <c r="G326" s="11" t="inlineStr">
        <is>
          <t>IEC 61850 or Modbus TCP</t>
        </is>
      </c>
      <c r="H326" s="11" t="inlineStr">
        <is>
          <t>-</t>
        </is>
      </c>
      <c r="I326" s="11" t="inlineStr">
        <is>
          <t>-</t>
        </is>
      </c>
      <c r="J326" s="11" t="inlineStr">
        <is>
          <t>-</t>
        </is>
      </c>
      <c r="K326" s="11" t="n"/>
    </row>
    <row r="327">
      <c r="A327" s="11" t="inlineStr">
        <is>
          <t>AH7-I-E</t>
        </is>
      </c>
      <c r="B327" s="11" t="inlineStr">
        <is>
          <t>11 kV protection relay AH7</t>
        </is>
      </c>
      <c r="C327" s="11" t="inlineStr">
        <is>
          <t>Earth current</t>
        </is>
      </c>
      <c r="D327" s="11" t="inlineStr">
        <is>
          <t>Read</t>
        </is>
      </c>
      <c r="E327" s="11" t="inlineStr">
        <is>
          <t>Measured</t>
        </is>
      </c>
      <c r="F327" s="11" t="inlineStr">
        <is>
          <t>A</t>
        </is>
      </c>
      <c r="G327" s="11" t="inlineStr">
        <is>
          <t>IEC 61850 or Modbus TCP</t>
        </is>
      </c>
      <c r="H327" s="11" t="inlineStr">
        <is>
          <t>-</t>
        </is>
      </c>
      <c r="I327" s="11" t="inlineStr">
        <is>
          <t>-</t>
        </is>
      </c>
      <c r="J327" s="11" t="inlineStr">
        <is>
          <t>-</t>
        </is>
      </c>
      <c r="K327" s="11" t="n"/>
    </row>
    <row r="328">
      <c r="A328" s="11" t="inlineStr">
        <is>
          <t>AH7-U-L1</t>
        </is>
      </c>
      <c r="B328" s="11" t="inlineStr">
        <is>
          <t>11 kV protection relay AH7</t>
        </is>
      </c>
      <c r="C328" s="11" t="inlineStr">
        <is>
          <t>Voltage L1, L2, L3 (3 points)</t>
        </is>
      </c>
      <c r="D328" s="11" t="inlineStr">
        <is>
          <t>Read</t>
        </is>
      </c>
      <c r="E328" s="11" t="inlineStr">
        <is>
          <t>Measured</t>
        </is>
      </c>
      <c r="F328" s="11" t="inlineStr">
        <is>
          <t>kV</t>
        </is>
      </c>
      <c r="G328" s="11" t="inlineStr">
        <is>
          <t>IEC 61850 or Modbus TCP</t>
        </is>
      </c>
      <c r="H328" s="11" t="inlineStr">
        <is>
          <t>-</t>
        </is>
      </c>
      <c r="I328" s="11" t="inlineStr">
        <is>
          <t>-</t>
        </is>
      </c>
      <c r="J328" s="11" t="inlineStr">
        <is>
          <t>-</t>
        </is>
      </c>
      <c r="K328" s="11" t="n"/>
    </row>
    <row r="329">
      <c r="A329" s="11" t="inlineStr">
        <is>
          <t>AH7-U-L2</t>
        </is>
      </c>
      <c r="B329" s="11" t="inlineStr">
        <is>
          <t>11 kV protection relay AH7</t>
        </is>
      </c>
      <c r="C329" s="11" t="inlineStr">
        <is>
          <t>Voltage L1, L2, L3 (3 points)</t>
        </is>
      </c>
      <c r="D329" s="11" t="inlineStr">
        <is>
          <t>Read</t>
        </is>
      </c>
      <c r="E329" s="11" t="inlineStr">
        <is>
          <t>Measured</t>
        </is>
      </c>
      <c r="F329" s="11" t="inlineStr">
        <is>
          <t>kV</t>
        </is>
      </c>
      <c r="G329" s="11" t="inlineStr">
        <is>
          <t>IEC 61850 or Modbus TCP</t>
        </is>
      </c>
      <c r="H329" s="11" t="inlineStr">
        <is>
          <t>-</t>
        </is>
      </c>
      <c r="I329" s="11" t="inlineStr">
        <is>
          <t>-</t>
        </is>
      </c>
      <c r="J329" s="11" t="inlineStr">
        <is>
          <t>-</t>
        </is>
      </c>
      <c r="K329" s="11" t="n"/>
    </row>
    <row r="330">
      <c r="A330" s="11" t="inlineStr">
        <is>
          <t>AH7-U-L3</t>
        </is>
      </c>
      <c r="B330" s="11" t="inlineStr">
        <is>
          <t>11 kV protection relay AH7</t>
        </is>
      </c>
      <c r="C330" s="11" t="inlineStr">
        <is>
          <t>Voltage L1, L2, L3 (3 points)</t>
        </is>
      </c>
      <c r="D330" s="11" t="inlineStr">
        <is>
          <t>Read</t>
        </is>
      </c>
      <c r="E330" s="11" t="inlineStr">
        <is>
          <t>Measured</t>
        </is>
      </c>
      <c r="F330" s="11" t="inlineStr">
        <is>
          <t>kV</t>
        </is>
      </c>
      <c r="G330" s="11" t="inlineStr">
        <is>
          <t>IEC 61850 or Modbus TCP</t>
        </is>
      </c>
      <c r="H330" s="11" t="inlineStr">
        <is>
          <t>-</t>
        </is>
      </c>
      <c r="I330" s="11" t="inlineStr">
        <is>
          <t>-</t>
        </is>
      </c>
      <c r="J330" s="11" t="inlineStr">
        <is>
          <t>-</t>
        </is>
      </c>
      <c r="K330" s="11" t="n"/>
    </row>
    <row r="331">
      <c r="A331" s="11" t="inlineStr">
        <is>
          <t>AH7-P</t>
        </is>
      </c>
      <c r="B331" s="11" t="inlineStr">
        <is>
          <t>11 kV protection relay AH7</t>
        </is>
      </c>
      <c r="C331" s="11" t="inlineStr">
        <is>
          <t>Active power</t>
        </is>
      </c>
      <c r="D331" s="11" t="inlineStr">
        <is>
          <t>Read</t>
        </is>
      </c>
      <c r="E331" s="11" t="inlineStr">
        <is>
          <t>Measured</t>
        </is>
      </c>
      <c r="F331" s="11" t="inlineStr">
        <is>
          <t>kW</t>
        </is>
      </c>
      <c r="G331" s="11" t="inlineStr">
        <is>
          <t>IEC 61850 or Modbus TCP</t>
        </is>
      </c>
      <c r="H331" s="11" t="inlineStr">
        <is>
          <t>-</t>
        </is>
      </c>
      <c r="I331" s="11" t="inlineStr">
        <is>
          <t>-</t>
        </is>
      </c>
      <c r="J331" s="11" t="inlineStr">
        <is>
          <t>-</t>
        </is>
      </c>
      <c r="K331" s="11" t="n"/>
    </row>
    <row r="332">
      <c r="A332" s="11" t="inlineStr">
        <is>
          <t>AH7-Q</t>
        </is>
      </c>
      <c r="B332" s="11" t="inlineStr">
        <is>
          <t>11 kV protection relay AH7</t>
        </is>
      </c>
      <c r="C332" s="11" t="inlineStr">
        <is>
          <t>Reactive power</t>
        </is>
      </c>
      <c r="D332" s="11" t="inlineStr">
        <is>
          <t>Read</t>
        </is>
      </c>
      <c r="E332" s="11" t="inlineStr">
        <is>
          <t>Measured</t>
        </is>
      </c>
      <c r="F332" s="11" t="inlineStr">
        <is>
          <t>kvar</t>
        </is>
      </c>
      <c r="G332" s="11" t="inlineStr">
        <is>
          <t>IEC 61850 or Modbus TCP</t>
        </is>
      </c>
      <c r="H332" s="11" t="inlineStr">
        <is>
          <t>-</t>
        </is>
      </c>
      <c r="I332" s="11" t="inlineStr">
        <is>
          <t>-</t>
        </is>
      </c>
      <c r="J332" s="11" t="inlineStr">
        <is>
          <t>-</t>
        </is>
      </c>
      <c r="K332" s="11" t="n"/>
    </row>
    <row r="333">
      <c r="A333" s="11" t="inlineStr">
        <is>
          <t>AH7-PF</t>
        </is>
      </c>
      <c r="B333" s="11" t="inlineStr">
        <is>
          <t>11 kV protection relay AH7</t>
        </is>
      </c>
      <c r="C333" s="11" t="inlineStr">
        <is>
          <t>Power factor</t>
        </is>
      </c>
      <c r="D333" s="11" t="inlineStr">
        <is>
          <t>Read</t>
        </is>
      </c>
      <c r="E333" s="11" t="inlineStr">
        <is>
          <t>Measured</t>
        </is>
      </c>
      <c r="F333" s="11" t="inlineStr">
        <is>
          <t>-</t>
        </is>
      </c>
      <c r="G333" s="11" t="inlineStr">
        <is>
          <t>IEC 61850 or Modbus TCP</t>
        </is>
      </c>
      <c r="H333" s="11" t="inlineStr">
        <is>
          <t>-</t>
        </is>
      </c>
      <c r="I333" s="11" t="inlineStr">
        <is>
          <t>-</t>
        </is>
      </c>
      <c r="J333" s="11" t="inlineStr">
        <is>
          <t>-</t>
        </is>
      </c>
      <c r="K333" s="11" t="n"/>
    </row>
    <row r="334">
      <c r="A334" s="11" t="inlineStr">
        <is>
          <t>AH7-F</t>
        </is>
      </c>
      <c r="B334" s="11" t="inlineStr">
        <is>
          <t>11 kV protection relay AH7</t>
        </is>
      </c>
      <c r="C334" s="11" t="inlineStr">
        <is>
          <t>Frequency</t>
        </is>
      </c>
      <c r="D334" s="11" t="inlineStr">
        <is>
          <t>Read</t>
        </is>
      </c>
      <c r="E334" s="11" t="inlineStr">
        <is>
          <t>Measured</t>
        </is>
      </c>
      <c r="F334" s="11" t="inlineStr">
        <is>
          <t>Hz</t>
        </is>
      </c>
      <c r="G334" s="11" t="inlineStr">
        <is>
          <t>IEC 61850 or Modbus TCP</t>
        </is>
      </c>
      <c r="H334" s="11" t="inlineStr">
        <is>
          <t>-</t>
        </is>
      </c>
      <c r="I334" s="11" t="inlineStr">
        <is>
          <t>-</t>
        </is>
      </c>
      <c r="J334" s="11" t="inlineStr">
        <is>
          <t>-</t>
        </is>
      </c>
      <c r="K334" s="11" t="n"/>
    </row>
    <row r="335">
      <c r="A335" s="11" t="inlineStr">
        <is>
          <t>AH7-E-IMP</t>
        </is>
      </c>
      <c r="B335" s="11" t="inlineStr">
        <is>
          <t>11 kV protection relay AH7</t>
        </is>
      </c>
      <c r="C335" s="11" t="inlineStr">
        <is>
          <t>Energy import</t>
        </is>
      </c>
      <c r="D335" s="11" t="inlineStr">
        <is>
          <t>Read</t>
        </is>
      </c>
      <c r="E335" s="11" t="inlineStr">
        <is>
          <t>Counter</t>
        </is>
      </c>
      <c r="F335" s="11" t="inlineStr">
        <is>
          <t>MWh</t>
        </is>
      </c>
      <c r="G335" s="11" t="inlineStr">
        <is>
          <t>IEC 61850 or Modbus TCP</t>
        </is>
      </c>
      <c r="H335" s="11" t="inlineStr">
        <is>
          <t>-</t>
        </is>
      </c>
      <c r="I335" s="11" t="inlineStr">
        <is>
          <t>-</t>
        </is>
      </c>
      <c r="J335" s="11" t="inlineStr">
        <is>
          <t>-</t>
        </is>
      </c>
      <c r="K335" s="11" t="n"/>
    </row>
    <row r="336">
      <c r="A336" s="11" t="inlineStr">
        <is>
          <t>AH7-E-EXP</t>
        </is>
      </c>
      <c r="B336" s="11" t="inlineStr">
        <is>
          <t>11 kV protection relay AH7</t>
        </is>
      </c>
      <c r="C336" s="11" t="inlineStr">
        <is>
          <t>Energy export</t>
        </is>
      </c>
      <c r="D336" s="11" t="inlineStr">
        <is>
          <t>Read</t>
        </is>
      </c>
      <c r="E336" s="11" t="inlineStr">
        <is>
          <t>Counter</t>
        </is>
      </c>
      <c r="F336" s="11" t="inlineStr">
        <is>
          <t>MWh</t>
        </is>
      </c>
      <c r="G336" s="11" t="inlineStr">
        <is>
          <t>IEC 61850 or Modbus TCP</t>
        </is>
      </c>
      <c r="H336" s="11" t="inlineStr">
        <is>
          <t>-</t>
        </is>
      </c>
      <c r="I336" s="11" t="inlineStr">
        <is>
          <t>-</t>
        </is>
      </c>
      <c r="J336" s="11" t="inlineStr">
        <is>
          <t>-</t>
        </is>
      </c>
      <c r="K336" s="11" t="n"/>
    </row>
    <row r="337">
      <c r="A337" s="11" t="inlineStr">
        <is>
          <t>AH7-CB-POS</t>
        </is>
      </c>
      <c r="B337" s="11" t="inlineStr">
        <is>
          <t>11 kV protection relay AH7</t>
        </is>
      </c>
      <c r="C337" s="11" t="inlineStr">
        <is>
          <t>Breaker position</t>
        </is>
      </c>
      <c r="D337" s="11" t="inlineStr">
        <is>
          <t>Read</t>
        </is>
      </c>
      <c r="E337" s="11" t="inlineStr">
        <is>
          <t>Double point</t>
        </is>
      </c>
      <c r="F337" s="11" t="inlineStr">
        <is>
          <t>-</t>
        </is>
      </c>
      <c r="G337" s="11" t="inlineStr">
        <is>
          <t>IEC 61850 or Modbus TCP</t>
        </is>
      </c>
      <c r="H337" s="11" t="inlineStr">
        <is>
          <t>Status</t>
        </is>
      </c>
      <c r="I337" s="11" t="inlineStr">
        <is>
          <t>-</t>
        </is>
      </c>
      <c r="J337" s="11" t="inlineStr">
        <is>
          <t>-</t>
        </is>
      </c>
      <c r="K337" s="11" t="n"/>
    </row>
    <row r="338">
      <c r="A338" s="11" t="inlineStr">
        <is>
          <t>AH7-TRIP-50</t>
        </is>
      </c>
      <c r="B338" s="11" t="inlineStr">
        <is>
          <t>11 kV protection relay AH7</t>
        </is>
      </c>
      <c r="C338" s="11" t="inlineStr">
        <is>
          <t>Overcurrent trip (50/51)</t>
        </is>
      </c>
      <c r="D338" s="11" t="inlineStr">
        <is>
          <t>Read</t>
        </is>
      </c>
      <c r="E338" s="11" t="inlineStr">
        <is>
          <t>Event</t>
        </is>
      </c>
      <c r="F338" s="11" t="inlineStr">
        <is>
          <t>-</t>
        </is>
      </c>
      <c r="G338" s="11" t="inlineStr">
        <is>
          <t>IEC 61850 or Modbus TCP</t>
        </is>
      </c>
      <c r="H338" s="11" t="inlineStr">
        <is>
          <t>1</t>
        </is>
      </c>
      <c r="I338" s="11" t="inlineStr">
        <is>
          <t>On</t>
        </is>
      </c>
      <c r="J338" s="11" t="inlineStr">
        <is>
          <t>-</t>
        </is>
      </c>
      <c r="K338" s="11" t="n"/>
    </row>
    <row r="339">
      <c r="A339" s="11" t="inlineStr">
        <is>
          <t>AH7-TRIP-50N</t>
        </is>
      </c>
      <c r="B339" s="11" t="inlineStr">
        <is>
          <t>11 kV protection relay AH7</t>
        </is>
      </c>
      <c r="C339" s="11" t="inlineStr">
        <is>
          <t>Earth fault trip (50N/51N)</t>
        </is>
      </c>
      <c r="D339" s="11" t="inlineStr">
        <is>
          <t>Read</t>
        </is>
      </c>
      <c r="E339" s="11" t="inlineStr">
        <is>
          <t>Event</t>
        </is>
      </c>
      <c r="F339" s="11" t="inlineStr">
        <is>
          <t>-</t>
        </is>
      </c>
      <c r="G339" s="11" t="inlineStr">
        <is>
          <t>IEC 61850 or Modbus TCP</t>
        </is>
      </c>
      <c r="H339" s="11" t="inlineStr">
        <is>
          <t>1</t>
        </is>
      </c>
      <c r="I339" s="11" t="inlineStr">
        <is>
          <t>On</t>
        </is>
      </c>
      <c r="J339" s="11" t="inlineStr">
        <is>
          <t>-</t>
        </is>
      </c>
      <c r="K339" s="11" t="n"/>
    </row>
    <row r="340">
      <c r="A340" s="11" t="inlineStr">
        <is>
          <t>AH7-TRIP-27-59</t>
        </is>
      </c>
      <c r="B340" s="11" t="inlineStr">
        <is>
          <t>11 kV protection relay AH7</t>
        </is>
      </c>
      <c r="C340" s="11" t="inlineStr">
        <is>
          <t>Under / overvoltage trip (27/59)</t>
        </is>
      </c>
      <c r="D340" s="11" t="inlineStr">
        <is>
          <t>Read</t>
        </is>
      </c>
      <c r="E340" s="11" t="inlineStr">
        <is>
          <t>Event</t>
        </is>
      </c>
      <c r="F340" s="11" t="inlineStr">
        <is>
          <t>-</t>
        </is>
      </c>
      <c r="G340" s="11" t="inlineStr">
        <is>
          <t>IEC 61850 or Modbus TCP</t>
        </is>
      </c>
      <c r="H340" s="11" t="inlineStr">
        <is>
          <t>1</t>
        </is>
      </c>
      <c r="I340" s="11" t="inlineStr">
        <is>
          <t>On</t>
        </is>
      </c>
      <c r="J340" s="11" t="inlineStr">
        <is>
          <t>-</t>
        </is>
      </c>
      <c r="K340" s="11" t="n"/>
    </row>
    <row r="341">
      <c r="A341" s="11" t="inlineStr">
        <is>
          <t>AH7-TRIP-81</t>
        </is>
      </c>
      <c r="B341" s="11" t="inlineStr">
        <is>
          <t>11 kV protection relay AH7</t>
        </is>
      </c>
      <c r="C341" s="11" t="inlineStr">
        <is>
          <t>Frequency trip (81)</t>
        </is>
      </c>
      <c r="D341" s="11" t="inlineStr">
        <is>
          <t>Read</t>
        </is>
      </c>
      <c r="E341" s="11" t="inlineStr">
        <is>
          <t>Event</t>
        </is>
      </c>
      <c r="F341" s="11" t="inlineStr">
        <is>
          <t>-</t>
        </is>
      </c>
      <c r="G341" s="11" t="inlineStr">
        <is>
          <t>IEC 61850 or Modbus TCP</t>
        </is>
      </c>
      <c r="H341" s="11" t="inlineStr">
        <is>
          <t>1</t>
        </is>
      </c>
      <c r="I341" s="11" t="inlineStr">
        <is>
          <t>On</t>
        </is>
      </c>
      <c r="J341" s="11" t="inlineStr">
        <is>
          <t>-</t>
        </is>
      </c>
      <c r="K341" s="11" t="n"/>
    </row>
    <row r="342">
      <c r="A342" s="11" t="inlineStr">
        <is>
          <t>AH7-RLY-HEALTHY</t>
        </is>
      </c>
      <c r="B342" s="11" t="inlineStr">
        <is>
          <t>11 kV protection relay AH7</t>
        </is>
      </c>
      <c r="C342" s="11" t="inlineStr">
        <is>
          <t>Relay healthy</t>
        </is>
      </c>
      <c r="D342" s="11" t="inlineStr">
        <is>
          <t>Read</t>
        </is>
      </c>
      <c r="E342" s="11" t="inlineStr">
        <is>
          <t>Status</t>
        </is>
      </c>
      <c r="F342" s="11" t="inlineStr">
        <is>
          <t>-</t>
        </is>
      </c>
      <c r="G342" s="11" t="inlineStr">
        <is>
          <t>IEC 61850 or Modbus TCP</t>
        </is>
      </c>
      <c r="H342" s="11" t="inlineStr">
        <is>
          <t>2</t>
        </is>
      </c>
      <c r="I342" s="11" t="inlineStr">
        <is>
          <t>Off</t>
        </is>
      </c>
      <c r="J342" s="11" t="inlineStr">
        <is>
          <t>-</t>
        </is>
      </c>
      <c r="K342" s="11" t="n"/>
    </row>
    <row r="343">
      <c r="A343" s="11" t="inlineStr">
        <is>
          <t>AH7-DREC</t>
        </is>
      </c>
      <c r="B343" s="11" t="inlineStr">
        <is>
          <t>11 kV protection relay AH7</t>
        </is>
      </c>
      <c r="C343" s="11" t="inlineStr">
        <is>
          <t>Disturbance record available</t>
        </is>
      </c>
      <c r="D343" s="11" t="inlineStr">
        <is>
          <t>Read</t>
        </is>
      </c>
      <c r="E343" s="11" t="inlineStr">
        <is>
          <t>Status</t>
        </is>
      </c>
      <c r="F343" s="11" t="inlineStr">
        <is>
          <t>-</t>
        </is>
      </c>
      <c r="G343" s="11" t="inlineStr">
        <is>
          <t>IEC 61850 or Modbus TCP</t>
        </is>
      </c>
      <c r="H343" s="11" t="inlineStr">
        <is>
          <t>3</t>
        </is>
      </c>
      <c r="I343" s="11" t="inlineStr">
        <is>
          <t>On</t>
        </is>
      </c>
      <c r="J343" s="11" t="inlineStr">
        <is>
          <t>-</t>
        </is>
      </c>
      <c r="K343" s="11" t="n"/>
    </row>
    <row r="344">
      <c r="A344" s="11" t="inlineStr">
        <is>
          <t>AH7-TCS-ALM</t>
        </is>
      </c>
      <c r="B344" s="11" t="inlineStr">
        <is>
          <t>11 kV protection relay AH7</t>
        </is>
      </c>
      <c r="C344" s="11" t="inlineStr">
        <is>
          <t>Trip circuit supervision alarm</t>
        </is>
      </c>
      <c r="D344" s="11" t="inlineStr">
        <is>
          <t>Read</t>
        </is>
      </c>
      <c r="E344" s="11" t="inlineStr">
        <is>
          <t>Status</t>
        </is>
      </c>
      <c r="F344" s="11" t="inlineStr">
        <is>
          <t>-</t>
        </is>
      </c>
      <c r="G344" s="11" t="inlineStr">
        <is>
          <t>IEC 61850 or Modbus TCP</t>
        </is>
      </c>
      <c r="H344" s="11" t="inlineStr">
        <is>
          <t>2</t>
        </is>
      </c>
      <c r="I344" s="11" t="inlineStr">
        <is>
          <t>On</t>
        </is>
      </c>
      <c r="J344" s="11" t="inlineStr">
        <is>
          <t>-</t>
        </is>
      </c>
      <c r="K344" s="11" t="inlineStr">
        <is>
          <t>Added rev 1</t>
        </is>
      </c>
    </row>
    <row r="345">
      <c r="A345" s="11" t="inlineStr">
        <is>
          <t>AH7-TRIP-51G</t>
        </is>
      </c>
      <c r="B345" s="11" t="inlineStr">
        <is>
          <t>11 kV protection relay AH7</t>
        </is>
      </c>
      <c r="C345" s="11" t="inlineStr">
        <is>
          <t>Sensitive earth fault trip (51G)</t>
        </is>
      </c>
      <c r="D345" s="11" t="inlineStr">
        <is>
          <t>Read</t>
        </is>
      </c>
      <c r="E345" s="11" t="inlineStr">
        <is>
          <t>Event</t>
        </is>
      </c>
      <c r="F345" s="11" t="inlineStr">
        <is>
          <t>-</t>
        </is>
      </c>
      <c r="G345" s="11" t="inlineStr">
        <is>
          <t>IEC 61850 or Modbus TCP</t>
        </is>
      </c>
      <c r="H345" s="11" t="inlineStr">
        <is>
          <t>1</t>
        </is>
      </c>
      <c r="I345" s="11" t="inlineStr">
        <is>
          <t>On</t>
        </is>
      </c>
      <c r="J345" s="11" t="inlineStr">
        <is>
          <t>-</t>
        </is>
      </c>
      <c r="K345" s="11" t="inlineStr">
        <is>
          <t>Added rev 1. Panels with a zero-sequence CT (all except AH5)</t>
        </is>
      </c>
    </row>
    <row r="346">
      <c r="A346" s="11" t="inlineStr">
        <is>
          <t>PRS-RLY-I-L1</t>
        </is>
      </c>
      <c r="B346" s="11" t="inlineStr">
        <is>
          <t>RMU relay ST260E</t>
        </is>
      </c>
      <c r="C346" s="11" t="inlineStr">
        <is>
          <t>Phase current L1, L2, L3 (3 points)</t>
        </is>
      </c>
      <c r="D346" s="11" t="inlineStr">
        <is>
          <t>Read</t>
        </is>
      </c>
      <c r="E346" s="11" t="inlineStr">
        <is>
          <t>Measured</t>
        </is>
      </c>
      <c r="F346" s="11" t="inlineStr">
        <is>
          <t>A</t>
        </is>
      </c>
      <c r="G346" s="11" t="inlineStr">
        <is>
          <t>Modbus RTU through MGate</t>
        </is>
      </c>
      <c r="H346" s="11" t="inlineStr">
        <is>
          <t>-</t>
        </is>
      </c>
      <c r="I346" s="11" t="inlineStr">
        <is>
          <t>-</t>
        </is>
      </c>
      <c r="J346" s="11" t="inlineStr">
        <is>
          <t>-</t>
        </is>
      </c>
      <c r="K346" s="11" t="n"/>
    </row>
    <row r="347">
      <c r="A347" s="11" t="inlineStr">
        <is>
          <t>PRS-RLY-I-L2</t>
        </is>
      </c>
      <c r="B347" s="11" t="inlineStr">
        <is>
          <t>RMU relay ST260E</t>
        </is>
      </c>
      <c r="C347" s="11" t="inlineStr">
        <is>
          <t>Phase current L1, L2, L3 (3 points)</t>
        </is>
      </c>
      <c r="D347" s="11" t="inlineStr">
        <is>
          <t>Read</t>
        </is>
      </c>
      <c r="E347" s="11" t="inlineStr">
        <is>
          <t>Measured</t>
        </is>
      </c>
      <c r="F347" s="11" t="inlineStr">
        <is>
          <t>A</t>
        </is>
      </c>
      <c r="G347" s="11" t="inlineStr">
        <is>
          <t>Modbus RTU through MGate</t>
        </is>
      </c>
      <c r="H347" s="11" t="inlineStr">
        <is>
          <t>-</t>
        </is>
      </c>
      <c r="I347" s="11" t="inlineStr">
        <is>
          <t>-</t>
        </is>
      </c>
      <c r="J347" s="11" t="inlineStr">
        <is>
          <t>-</t>
        </is>
      </c>
      <c r="K347" s="11" t="n"/>
    </row>
    <row r="348">
      <c r="A348" s="11" t="inlineStr">
        <is>
          <t>PRS-RLY-I-L3</t>
        </is>
      </c>
      <c r="B348" s="11" t="inlineStr">
        <is>
          <t>RMU relay ST260E</t>
        </is>
      </c>
      <c r="C348" s="11" t="inlineStr">
        <is>
          <t>Phase current L1, L2, L3 (3 points)</t>
        </is>
      </c>
      <c r="D348" s="11" t="inlineStr">
        <is>
          <t>Read</t>
        </is>
      </c>
      <c r="E348" s="11" t="inlineStr">
        <is>
          <t>Measured</t>
        </is>
      </c>
      <c r="F348" s="11" t="inlineStr">
        <is>
          <t>A</t>
        </is>
      </c>
      <c r="G348" s="11" t="inlineStr">
        <is>
          <t>Modbus RTU through MGate</t>
        </is>
      </c>
      <c r="H348" s="11" t="inlineStr">
        <is>
          <t>-</t>
        </is>
      </c>
      <c r="I348" s="11" t="inlineStr">
        <is>
          <t>-</t>
        </is>
      </c>
      <c r="J348" s="11" t="inlineStr">
        <is>
          <t>-</t>
        </is>
      </c>
      <c r="K348" s="11" t="n"/>
    </row>
    <row r="349">
      <c r="A349" s="11" t="inlineStr">
        <is>
          <t>PRS-RLY-I-E</t>
        </is>
      </c>
      <c r="B349" s="11" t="inlineStr">
        <is>
          <t>RMU relay ST260E</t>
        </is>
      </c>
      <c r="C349" s="11" t="inlineStr">
        <is>
          <t>Earth current</t>
        </is>
      </c>
      <c r="D349" s="11" t="inlineStr">
        <is>
          <t>Read</t>
        </is>
      </c>
      <c r="E349" s="11" t="inlineStr">
        <is>
          <t>Measured</t>
        </is>
      </c>
      <c r="F349" s="11" t="inlineStr">
        <is>
          <t>A</t>
        </is>
      </c>
      <c r="G349" s="11" t="inlineStr">
        <is>
          <t>Modbus RTU through MGate</t>
        </is>
      </c>
      <c r="H349" s="11" t="inlineStr">
        <is>
          <t>-</t>
        </is>
      </c>
      <c r="I349" s="11" t="inlineStr">
        <is>
          <t>-</t>
        </is>
      </c>
      <c r="J349" s="11" t="inlineStr">
        <is>
          <t>-</t>
        </is>
      </c>
      <c r="K349" s="11" t="n"/>
    </row>
    <row r="350">
      <c r="A350" s="11" t="inlineStr">
        <is>
          <t>PRS-RLY-CB-POS</t>
        </is>
      </c>
      <c r="B350" s="11" t="inlineStr">
        <is>
          <t>RMU relay ST260E</t>
        </is>
      </c>
      <c r="C350" s="11" t="inlineStr">
        <is>
          <t>Breaker position</t>
        </is>
      </c>
      <c r="D350" s="11" t="inlineStr">
        <is>
          <t>Read</t>
        </is>
      </c>
      <c r="E350" s="11" t="inlineStr">
        <is>
          <t>Double point</t>
        </is>
      </c>
      <c r="F350" s="11" t="inlineStr">
        <is>
          <t>-</t>
        </is>
      </c>
      <c r="G350" s="11" t="inlineStr">
        <is>
          <t>Modbus RTU through MGate</t>
        </is>
      </c>
      <c r="H350" s="11" t="inlineStr">
        <is>
          <t>Status</t>
        </is>
      </c>
      <c r="I350" s="11" t="inlineStr">
        <is>
          <t>-</t>
        </is>
      </c>
      <c r="J350" s="11" t="inlineStr">
        <is>
          <t>-</t>
        </is>
      </c>
      <c r="K350" s="11" t="n"/>
    </row>
    <row r="351">
      <c r="A351" s="11" t="inlineStr">
        <is>
          <t>PRS-RLY-TRIP-50</t>
        </is>
      </c>
      <c r="B351" s="11" t="inlineStr">
        <is>
          <t>RMU relay ST260E</t>
        </is>
      </c>
      <c r="C351" s="11" t="inlineStr">
        <is>
          <t>Overcurrent trip</t>
        </is>
      </c>
      <c r="D351" s="11" t="inlineStr">
        <is>
          <t>Read</t>
        </is>
      </c>
      <c r="E351" s="11" t="inlineStr">
        <is>
          <t>Event</t>
        </is>
      </c>
      <c r="F351" s="11" t="inlineStr">
        <is>
          <t>-</t>
        </is>
      </c>
      <c r="G351" s="11" t="inlineStr">
        <is>
          <t>Modbus RTU through MGate</t>
        </is>
      </c>
      <c r="H351" s="11" t="inlineStr">
        <is>
          <t>1</t>
        </is>
      </c>
      <c r="I351" s="11" t="inlineStr">
        <is>
          <t>On</t>
        </is>
      </c>
      <c r="J351" s="11" t="inlineStr">
        <is>
          <t>-</t>
        </is>
      </c>
      <c r="K351" s="11" t="n"/>
    </row>
    <row r="352">
      <c r="A352" s="11" t="inlineStr">
        <is>
          <t>PRS-RLY-TRIP-50N</t>
        </is>
      </c>
      <c r="B352" s="11" t="inlineStr">
        <is>
          <t>RMU relay ST260E</t>
        </is>
      </c>
      <c r="C352" s="11" t="inlineStr">
        <is>
          <t>Earth fault trip</t>
        </is>
      </c>
      <c r="D352" s="11" t="inlineStr">
        <is>
          <t>Read</t>
        </is>
      </c>
      <c r="E352" s="11" t="inlineStr">
        <is>
          <t>Event</t>
        </is>
      </c>
      <c r="F352" s="11" t="inlineStr">
        <is>
          <t>-</t>
        </is>
      </c>
      <c r="G352" s="11" t="inlineStr">
        <is>
          <t>Modbus RTU through MGate</t>
        </is>
      </c>
      <c r="H352" s="11" t="inlineStr">
        <is>
          <t>1</t>
        </is>
      </c>
      <c r="I352" s="11" t="inlineStr">
        <is>
          <t>On</t>
        </is>
      </c>
      <c r="J352" s="11" t="inlineStr">
        <is>
          <t>-</t>
        </is>
      </c>
      <c r="K352" s="11" t="n"/>
    </row>
    <row r="353">
      <c r="A353" s="11" t="inlineStr">
        <is>
          <t>PRS-RLY-RLY-HEALTHY</t>
        </is>
      </c>
      <c r="B353" s="11" t="inlineStr">
        <is>
          <t>RMU relay ST260E</t>
        </is>
      </c>
      <c r="C353" s="11" t="inlineStr">
        <is>
          <t>Relay healthy</t>
        </is>
      </c>
      <c r="D353" s="11" t="inlineStr">
        <is>
          <t>Read</t>
        </is>
      </c>
      <c r="E353" s="11" t="inlineStr">
        <is>
          <t>Status</t>
        </is>
      </c>
      <c r="F353" s="11" t="inlineStr">
        <is>
          <t>-</t>
        </is>
      </c>
      <c r="G353" s="11" t="inlineStr">
        <is>
          <t>Modbus RTU through MGate</t>
        </is>
      </c>
      <c r="H353" s="11" t="inlineStr">
        <is>
          <t>2</t>
        </is>
      </c>
      <c r="I353" s="11" t="inlineStr">
        <is>
          <t>Off</t>
        </is>
      </c>
      <c r="J353" s="11" t="inlineStr">
        <is>
          <t>-</t>
        </is>
      </c>
      <c r="K353" s="11" t="n"/>
    </row>
    <row r="354">
      <c r="A354" s="11" t="inlineStr">
        <is>
          <t>PMS-RLY-I-L1</t>
        </is>
      </c>
      <c r="B354" s="11" t="inlineStr">
        <is>
          <t>RMU relay ST260E</t>
        </is>
      </c>
      <c r="C354" s="11" t="inlineStr">
        <is>
          <t>Phase current L1, L2, L3 (3 points)</t>
        </is>
      </c>
      <c r="D354" s="11" t="inlineStr">
        <is>
          <t>Read</t>
        </is>
      </c>
      <c r="E354" s="11" t="inlineStr">
        <is>
          <t>Measured</t>
        </is>
      </c>
      <c r="F354" s="11" t="inlineStr">
        <is>
          <t>A</t>
        </is>
      </c>
      <c r="G354" s="11" t="inlineStr">
        <is>
          <t>Modbus RTU through MGate</t>
        </is>
      </c>
      <c r="H354" s="11" t="inlineStr">
        <is>
          <t>-</t>
        </is>
      </c>
      <c r="I354" s="11" t="inlineStr">
        <is>
          <t>-</t>
        </is>
      </c>
      <c r="J354" s="11" t="inlineStr">
        <is>
          <t>-</t>
        </is>
      </c>
      <c r="K354" s="11" t="n"/>
    </row>
    <row r="355">
      <c r="A355" s="11" t="inlineStr">
        <is>
          <t>PMS-RLY-I-L2</t>
        </is>
      </c>
      <c r="B355" s="11" t="inlineStr">
        <is>
          <t>RMU relay ST260E</t>
        </is>
      </c>
      <c r="C355" s="11" t="inlineStr">
        <is>
          <t>Phase current L1, L2, L3 (3 points)</t>
        </is>
      </c>
      <c r="D355" s="11" t="inlineStr">
        <is>
          <t>Read</t>
        </is>
      </c>
      <c r="E355" s="11" t="inlineStr">
        <is>
          <t>Measured</t>
        </is>
      </c>
      <c r="F355" s="11" t="inlineStr">
        <is>
          <t>A</t>
        </is>
      </c>
      <c r="G355" s="11" t="inlineStr">
        <is>
          <t>Modbus RTU through MGate</t>
        </is>
      </c>
      <c r="H355" s="11" t="inlineStr">
        <is>
          <t>-</t>
        </is>
      </c>
      <c r="I355" s="11" t="inlineStr">
        <is>
          <t>-</t>
        </is>
      </c>
      <c r="J355" s="11" t="inlineStr">
        <is>
          <t>-</t>
        </is>
      </c>
      <c r="K355" s="11" t="n"/>
    </row>
    <row r="356">
      <c r="A356" s="11" t="inlineStr">
        <is>
          <t>PMS-RLY-I-L3</t>
        </is>
      </c>
      <c r="B356" s="11" t="inlineStr">
        <is>
          <t>RMU relay ST260E</t>
        </is>
      </c>
      <c r="C356" s="11" t="inlineStr">
        <is>
          <t>Phase current L1, L2, L3 (3 points)</t>
        </is>
      </c>
      <c r="D356" s="11" t="inlineStr">
        <is>
          <t>Read</t>
        </is>
      </c>
      <c r="E356" s="11" t="inlineStr">
        <is>
          <t>Measured</t>
        </is>
      </c>
      <c r="F356" s="11" t="inlineStr">
        <is>
          <t>A</t>
        </is>
      </c>
      <c r="G356" s="11" t="inlineStr">
        <is>
          <t>Modbus RTU through MGate</t>
        </is>
      </c>
      <c r="H356" s="11" t="inlineStr">
        <is>
          <t>-</t>
        </is>
      </c>
      <c r="I356" s="11" t="inlineStr">
        <is>
          <t>-</t>
        </is>
      </c>
      <c r="J356" s="11" t="inlineStr">
        <is>
          <t>-</t>
        </is>
      </c>
      <c r="K356" s="11" t="n"/>
    </row>
    <row r="357">
      <c r="A357" s="11" t="inlineStr">
        <is>
          <t>PMS-RLY-I-E</t>
        </is>
      </c>
      <c r="B357" s="11" t="inlineStr">
        <is>
          <t>RMU relay ST260E</t>
        </is>
      </c>
      <c r="C357" s="11" t="inlineStr">
        <is>
          <t>Earth current</t>
        </is>
      </c>
      <c r="D357" s="11" t="inlineStr">
        <is>
          <t>Read</t>
        </is>
      </c>
      <c r="E357" s="11" t="inlineStr">
        <is>
          <t>Measured</t>
        </is>
      </c>
      <c r="F357" s="11" t="inlineStr">
        <is>
          <t>A</t>
        </is>
      </c>
      <c r="G357" s="11" t="inlineStr">
        <is>
          <t>Modbus RTU through MGate</t>
        </is>
      </c>
      <c r="H357" s="11" t="inlineStr">
        <is>
          <t>-</t>
        </is>
      </c>
      <c r="I357" s="11" t="inlineStr">
        <is>
          <t>-</t>
        </is>
      </c>
      <c r="J357" s="11" t="inlineStr">
        <is>
          <t>-</t>
        </is>
      </c>
      <c r="K357" s="11" t="n"/>
    </row>
    <row r="358">
      <c r="A358" s="11" t="inlineStr">
        <is>
          <t>PMS-RLY-CB-POS</t>
        </is>
      </c>
      <c r="B358" s="11" t="inlineStr">
        <is>
          <t>RMU relay ST260E</t>
        </is>
      </c>
      <c r="C358" s="11" t="inlineStr">
        <is>
          <t>Breaker position</t>
        </is>
      </c>
      <c r="D358" s="11" t="inlineStr">
        <is>
          <t>Read</t>
        </is>
      </c>
      <c r="E358" s="11" t="inlineStr">
        <is>
          <t>Double point</t>
        </is>
      </c>
      <c r="F358" s="11" t="inlineStr">
        <is>
          <t>-</t>
        </is>
      </c>
      <c r="G358" s="11" t="inlineStr">
        <is>
          <t>Modbus RTU through MGate</t>
        </is>
      </c>
      <c r="H358" s="11" t="inlineStr">
        <is>
          <t>Status</t>
        </is>
      </c>
      <c r="I358" s="11" t="inlineStr">
        <is>
          <t>-</t>
        </is>
      </c>
      <c r="J358" s="11" t="inlineStr">
        <is>
          <t>-</t>
        </is>
      </c>
      <c r="K358" s="11" t="n"/>
    </row>
    <row r="359">
      <c r="A359" s="11" t="inlineStr">
        <is>
          <t>PMS-RLY-TRIP-50</t>
        </is>
      </c>
      <c r="B359" s="11" t="inlineStr">
        <is>
          <t>RMU relay ST260E</t>
        </is>
      </c>
      <c r="C359" s="11" t="inlineStr">
        <is>
          <t>Overcurrent trip</t>
        </is>
      </c>
      <c r="D359" s="11" t="inlineStr">
        <is>
          <t>Read</t>
        </is>
      </c>
      <c r="E359" s="11" t="inlineStr">
        <is>
          <t>Event</t>
        </is>
      </c>
      <c r="F359" s="11" t="inlineStr">
        <is>
          <t>-</t>
        </is>
      </c>
      <c r="G359" s="11" t="inlineStr">
        <is>
          <t>Modbus RTU through MGate</t>
        </is>
      </c>
      <c r="H359" s="11" t="inlineStr">
        <is>
          <t>1</t>
        </is>
      </c>
      <c r="I359" s="11" t="inlineStr">
        <is>
          <t>On</t>
        </is>
      </c>
      <c r="J359" s="11" t="inlineStr">
        <is>
          <t>-</t>
        </is>
      </c>
      <c r="K359" s="11" t="n"/>
    </row>
    <row r="360">
      <c r="A360" s="11" t="inlineStr">
        <is>
          <t>PMS-RLY-TRIP-50N</t>
        </is>
      </c>
      <c r="B360" s="11" t="inlineStr">
        <is>
          <t>RMU relay ST260E</t>
        </is>
      </c>
      <c r="C360" s="11" t="inlineStr">
        <is>
          <t>Earth fault trip</t>
        </is>
      </c>
      <c r="D360" s="11" t="inlineStr">
        <is>
          <t>Read</t>
        </is>
      </c>
      <c r="E360" s="11" t="inlineStr">
        <is>
          <t>Event</t>
        </is>
      </c>
      <c r="F360" s="11" t="inlineStr">
        <is>
          <t>-</t>
        </is>
      </c>
      <c r="G360" s="11" t="inlineStr">
        <is>
          <t>Modbus RTU through MGate</t>
        </is>
      </c>
      <c r="H360" s="11" t="inlineStr">
        <is>
          <t>1</t>
        </is>
      </c>
      <c r="I360" s="11" t="inlineStr">
        <is>
          <t>On</t>
        </is>
      </c>
      <c r="J360" s="11" t="inlineStr">
        <is>
          <t>-</t>
        </is>
      </c>
      <c r="K360" s="11" t="n"/>
    </row>
    <row r="361">
      <c r="A361" s="11" t="inlineStr">
        <is>
          <t>PMS-RLY-RLY-HEALTHY</t>
        </is>
      </c>
      <c r="B361" s="11" t="inlineStr">
        <is>
          <t>RMU relay ST260E</t>
        </is>
      </c>
      <c r="C361" s="11" t="inlineStr">
        <is>
          <t>Relay healthy</t>
        </is>
      </c>
      <c r="D361" s="11" t="inlineStr">
        <is>
          <t>Read</t>
        </is>
      </c>
      <c r="E361" s="11" t="inlineStr">
        <is>
          <t>Status</t>
        </is>
      </c>
      <c r="F361" s="11" t="inlineStr">
        <is>
          <t>-</t>
        </is>
      </c>
      <c r="G361" s="11" t="inlineStr">
        <is>
          <t>Modbus RTU through MGate</t>
        </is>
      </c>
      <c r="H361" s="11" t="inlineStr">
        <is>
          <t>2</t>
        </is>
      </c>
      <c r="I361" s="11" t="inlineStr">
        <is>
          <t>Off</t>
        </is>
      </c>
      <c r="J361" s="11" t="inlineStr">
        <is>
          <t>-</t>
        </is>
      </c>
      <c r="K361" s="11" t="n"/>
    </row>
    <row r="362">
      <c r="A362" s="11" t="inlineStr">
        <is>
          <t>PRS-LV-U-L1N</t>
        </is>
      </c>
      <c r="B362" s="11" t="inlineStr">
        <is>
          <t>Power meter PM5560</t>
        </is>
      </c>
      <c r="C362" s="11" t="inlineStr">
        <is>
          <t>Voltage L-N, 3 phases (3 points)</t>
        </is>
      </c>
      <c r="D362" s="11" t="inlineStr">
        <is>
          <t>Read</t>
        </is>
      </c>
      <c r="E362" s="11" t="inlineStr">
        <is>
          <t>Measured</t>
        </is>
      </c>
      <c r="F362" s="11" t="inlineStr">
        <is>
          <t>V</t>
        </is>
      </c>
      <c r="G362" s="11" t="inlineStr">
        <is>
          <t>Modbus TCP</t>
        </is>
      </c>
      <c r="H362" s="11" t="inlineStr">
        <is>
          <t>-</t>
        </is>
      </c>
      <c r="I362" s="11" t="inlineStr">
        <is>
          <t>-</t>
        </is>
      </c>
      <c r="J362" s="11" t="inlineStr">
        <is>
          <t>-</t>
        </is>
      </c>
      <c r="K362" s="11" t="n"/>
    </row>
    <row r="363">
      <c r="A363" s="11" t="inlineStr">
        <is>
          <t>PRS-LV-U-L2N</t>
        </is>
      </c>
      <c r="B363" s="11" t="inlineStr">
        <is>
          <t>Power meter PM5560</t>
        </is>
      </c>
      <c r="C363" s="11" t="inlineStr">
        <is>
          <t>Voltage L-N, 3 phases (3 points)</t>
        </is>
      </c>
      <c r="D363" s="11" t="inlineStr">
        <is>
          <t>Read</t>
        </is>
      </c>
      <c r="E363" s="11" t="inlineStr">
        <is>
          <t>Measured</t>
        </is>
      </c>
      <c r="F363" s="11" t="inlineStr">
        <is>
          <t>V</t>
        </is>
      </c>
      <c r="G363" s="11" t="inlineStr">
        <is>
          <t>Modbus TCP</t>
        </is>
      </c>
      <c r="H363" s="11" t="inlineStr">
        <is>
          <t>-</t>
        </is>
      </c>
      <c r="I363" s="11" t="inlineStr">
        <is>
          <t>-</t>
        </is>
      </c>
      <c r="J363" s="11" t="inlineStr">
        <is>
          <t>-</t>
        </is>
      </c>
      <c r="K363" s="11" t="n"/>
    </row>
    <row r="364">
      <c r="A364" s="11" t="inlineStr">
        <is>
          <t>PRS-LV-U-L3N</t>
        </is>
      </c>
      <c r="B364" s="11" t="inlineStr">
        <is>
          <t>Power meter PM5560</t>
        </is>
      </c>
      <c r="C364" s="11" t="inlineStr">
        <is>
          <t>Voltage L-N, 3 phases (3 points)</t>
        </is>
      </c>
      <c r="D364" s="11" t="inlineStr">
        <is>
          <t>Read</t>
        </is>
      </c>
      <c r="E364" s="11" t="inlineStr">
        <is>
          <t>Measured</t>
        </is>
      </c>
      <c r="F364" s="11" t="inlineStr">
        <is>
          <t>V</t>
        </is>
      </c>
      <c r="G364" s="11" t="inlineStr">
        <is>
          <t>Modbus TCP</t>
        </is>
      </c>
      <c r="H364" s="11" t="inlineStr">
        <is>
          <t>-</t>
        </is>
      </c>
      <c r="I364" s="11" t="inlineStr">
        <is>
          <t>-</t>
        </is>
      </c>
      <c r="J364" s="11" t="inlineStr">
        <is>
          <t>-</t>
        </is>
      </c>
      <c r="K364" s="11" t="n"/>
    </row>
    <row r="365">
      <c r="A365" s="11" t="inlineStr">
        <is>
          <t>PRS-LV-I-L1</t>
        </is>
      </c>
      <c r="B365" s="11" t="inlineStr">
        <is>
          <t>Power meter PM5560</t>
        </is>
      </c>
      <c r="C365" s="11" t="inlineStr">
        <is>
          <t>Current, 3 phases (3 points)</t>
        </is>
      </c>
      <c r="D365" s="11" t="inlineStr">
        <is>
          <t>Read</t>
        </is>
      </c>
      <c r="E365" s="11" t="inlineStr">
        <is>
          <t>Measured</t>
        </is>
      </c>
      <c r="F365" s="11" t="inlineStr">
        <is>
          <t>A</t>
        </is>
      </c>
      <c r="G365" s="11" t="inlineStr">
        <is>
          <t>Modbus TCP</t>
        </is>
      </c>
      <c r="H365" s="11" t="inlineStr">
        <is>
          <t>-</t>
        </is>
      </c>
      <c r="I365" s="11" t="inlineStr">
        <is>
          <t>-</t>
        </is>
      </c>
      <c r="J365" s="11" t="inlineStr">
        <is>
          <t>-</t>
        </is>
      </c>
      <c r="K365" s="11" t="n"/>
    </row>
    <row r="366">
      <c r="A366" s="11" t="inlineStr">
        <is>
          <t>PRS-LV-I-L2</t>
        </is>
      </c>
      <c r="B366" s="11" t="inlineStr">
        <is>
          <t>Power meter PM5560</t>
        </is>
      </c>
      <c r="C366" s="11" t="inlineStr">
        <is>
          <t>Current, 3 phases (3 points)</t>
        </is>
      </c>
      <c r="D366" s="11" t="inlineStr">
        <is>
          <t>Read</t>
        </is>
      </c>
      <c r="E366" s="11" t="inlineStr">
        <is>
          <t>Measured</t>
        </is>
      </c>
      <c r="F366" s="11" t="inlineStr">
        <is>
          <t>A</t>
        </is>
      </c>
      <c r="G366" s="11" t="inlineStr">
        <is>
          <t>Modbus TCP</t>
        </is>
      </c>
      <c r="H366" s="11" t="inlineStr">
        <is>
          <t>-</t>
        </is>
      </c>
      <c r="I366" s="11" t="inlineStr">
        <is>
          <t>-</t>
        </is>
      </c>
      <c r="J366" s="11" t="inlineStr">
        <is>
          <t>-</t>
        </is>
      </c>
      <c r="K366" s="11" t="n"/>
    </row>
    <row r="367">
      <c r="A367" s="11" t="inlineStr">
        <is>
          <t>PRS-LV-I-L3</t>
        </is>
      </c>
      <c r="B367" s="11" t="inlineStr">
        <is>
          <t>Power meter PM5560</t>
        </is>
      </c>
      <c r="C367" s="11" t="inlineStr">
        <is>
          <t>Current, 3 phases (3 points)</t>
        </is>
      </c>
      <c r="D367" s="11" t="inlineStr">
        <is>
          <t>Read</t>
        </is>
      </c>
      <c r="E367" s="11" t="inlineStr">
        <is>
          <t>Measured</t>
        </is>
      </c>
      <c r="F367" s="11" t="inlineStr">
        <is>
          <t>A</t>
        </is>
      </c>
      <c r="G367" s="11" t="inlineStr">
        <is>
          <t>Modbus TCP</t>
        </is>
      </c>
      <c r="H367" s="11" t="inlineStr">
        <is>
          <t>-</t>
        </is>
      </c>
      <c r="I367" s="11" t="inlineStr">
        <is>
          <t>-</t>
        </is>
      </c>
      <c r="J367" s="11" t="inlineStr">
        <is>
          <t>-</t>
        </is>
      </c>
      <c r="K367" s="11" t="n"/>
    </row>
    <row r="368">
      <c r="A368" s="11" t="inlineStr">
        <is>
          <t>PRS-LV-P</t>
        </is>
      </c>
      <c r="B368" s="11" t="inlineStr">
        <is>
          <t>Power meter PM5560</t>
        </is>
      </c>
      <c r="C368" s="11" t="inlineStr">
        <is>
          <t>Active power</t>
        </is>
      </c>
      <c r="D368" s="11" t="inlineStr">
        <is>
          <t>Read</t>
        </is>
      </c>
      <c r="E368" s="11" t="inlineStr">
        <is>
          <t>Measured</t>
        </is>
      </c>
      <c r="F368" s="11" t="inlineStr">
        <is>
          <t>kW</t>
        </is>
      </c>
      <c r="G368" s="11" t="inlineStr">
        <is>
          <t>Modbus TCP</t>
        </is>
      </c>
      <c r="H368" s="11" t="inlineStr">
        <is>
          <t>-</t>
        </is>
      </c>
      <c r="I368" s="11" t="inlineStr">
        <is>
          <t>-</t>
        </is>
      </c>
      <c r="J368" s="11" t="inlineStr">
        <is>
          <t>-</t>
        </is>
      </c>
      <c r="K368" s="11" t="n"/>
    </row>
    <row r="369">
      <c r="A369" s="11" t="inlineStr">
        <is>
          <t>PRS-LV-Q</t>
        </is>
      </c>
      <c r="B369" s="11" t="inlineStr">
        <is>
          <t>Power meter PM5560</t>
        </is>
      </c>
      <c r="C369" s="11" t="inlineStr">
        <is>
          <t>Reactive power</t>
        </is>
      </c>
      <c r="D369" s="11" t="inlineStr">
        <is>
          <t>Read</t>
        </is>
      </c>
      <c r="E369" s="11" t="inlineStr">
        <is>
          <t>Measured</t>
        </is>
      </c>
      <c r="F369" s="11" t="inlineStr">
        <is>
          <t>kvar</t>
        </is>
      </c>
      <c r="G369" s="11" t="inlineStr">
        <is>
          <t>Modbus TCP</t>
        </is>
      </c>
      <c r="H369" s="11" t="inlineStr">
        <is>
          <t>-</t>
        </is>
      </c>
      <c r="I369" s="11" t="inlineStr">
        <is>
          <t>-</t>
        </is>
      </c>
      <c r="J369" s="11" t="inlineStr">
        <is>
          <t>-</t>
        </is>
      </c>
      <c r="K369" s="11" t="n"/>
    </row>
    <row r="370">
      <c r="A370" s="11" t="inlineStr">
        <is>
          <t>PRS-LV-S</t>
        </is>
      </c>
      <c r="B370" s="11" t="inlineStr">
        <is>
          <t>Power meter PM5560</t>
        </is>
      </c>
      <c r="C370" s="11" t="inlineStr">
        <is>
          <t>Apparent power</t>
        </is>
      </c>
      <c r="D370" s="11" t="inlineStr">
        <is>
          <t>Read</t>
        </is>
      </c>
      <c r="E370" s="11" t="inlineStr">
        <is>
          <t>Measured</t>
        </is>
      </c>
      <c r="F370" s="11" t="inlineStr">
        <is>
          <t>kVA</t>
        </is>
      </c>
      <c r="G370" s="11" t="inlineStr">
        <is>
          <t>Modbus TCP</t>
        </is>
      </c>
      <c r="H370" s="11" t="inlineStr">
        <is>
          <t>-</t>
        </is>
      </c>
      <c r="I370" s="11" t="inlineStr">
        <is>
          <t>-</t>
        </is>
      </c>
      <c r="J370" s="11" t="inlineStr">
        <is>
          <t>-</t>
        </is>
      </c>
      <c r="K370" s="11" t="n"/>
    </row>
    <row r="371">
      <c r="A371" s="11" t="inlineStr">
        <is>
          <t>PRS-LV-PF</t>
        </is>
      </c>
      <c r="B371" s="11" t="inlineStr">
        <is>
          <t>Power meter PM5560</t>
        </is>
      </c>
      <c r="C371" s="11" t="inlineStr">
        <is>
          <t>Power factor</t>
        </is>
      </c>
      <c r="D371" s="11" t="inlineStr">
        <is>
          <t>Read</t>
        </is>
      </c>
      <c r="E371" s="11" t="inlineStr">
        <is>
          <t>Measured</t>
        </is>
      </c>
      <c r="F371" s="11" t="inlineStr">
        <is>
          <t>-</t>
        </is>
      </c>
      <c r="G371" s="11" t="inlineStr">
        <is>
          <t>Modbus TCP</t>
        </is>
      </c>
      <c r="H371" s="11" t="inlineStr">
        <is>
          <t>-</t>
        </is>
      </c>
      <c r="I371" s="11" t="inlineStr">
        <is>
          <t>-</t>
        </is>
      </c>
      <c r="J371" s="11" t="inlineStr">
        <is>
          <t>-</t>
        </is>
      </c>
      <c r="K371" s="11" t="n"/>
    </row>
    <row r="372">
      <c r="A372" s="11" t="inlineStr">
        <is>
          <t>PRS-LV-F</t>
        </is>
      </c>
      <c r="B372" s="11" t="inlineStr">
        <is>
          <t>Power meter PM5560</t>
        </is>
      </c>
      <c r="C372" s="11" t="inlineStr">
        <is>
          <t>Frequency</t>
        </is>
      </c>
      <c r="D372" s="11" t="inlineStr">
        <is>
          <t>Read</t>
        </is>
      </c>
      <c r="E372" s="11" t="inlineStr">
        <is>
          <t>Measured</t>
        </is>
      </c>
      <c r="F372" s="11" t="inlineStr">
        <is>
          <t>Hz</t>
        </is>
      </c>
      <c r="G372" s="11" t="inlineStr">
        <is>
          <t>Modbus TCP</t>
        </is>
      </c>
      <c r="H372" s="11" t="inlineStr">
        <is>
          <t>-</t>
        </is>
      </c>
      <c r="I372" s="11" t="inlineStr">
        <is>
          <t>-</t>
        </is>
      </c>
      <c r="J372" s="11" t="inlineStr">
        <is>
          <t>-</t>
        </is>
      </c>
      <c r="K372" s="11" t="n"/>
    </row>
    <row r="373">
      <c r="A373" s="11" t="inlineStr">
        <is>
          <t>PRS-LV-E-P</t>
        </is>
      </c>
      <c r="B373" s="11" t="inlineStr">
        <is>
          <t>Power meter PM5560</t>
        </is>
      </c>
      <c r="C373" s="11" t="inlineStr">
        <is>
          <t>Active energy</t>
        </is>
      </c>
      <c r="D373" s="11" t="inlineStr">
        <is>
          <t>Read</t>
        </is>
      </c>
      <c r="E373" s="11" t="inlineStr">
        <is>
          <t>Counter</t>
        </is>
      </c>
      <c r="F373" s="11" t="inlineStr">
        <is>
          <t>kWh</t>
        </is>
      </c>
      <c r="G373" s="11" t="inlineStr">
        <is>
          <t>Modbus TCP</t>
        </is>
      </c>
      <c r="H373" s="11" t="inlineStr">
        <is>
          <t>-</t>
        </is>
      </c>
      <c r="I373" s="11" t="inlineStr">
        <is>
          <t>-</t>
        </is>
      </c>
      <c r="J373" s="11" t="inlineStr">
        <is>
          <t>-</t>
        </is>
      </c>
      <c r="K373" s="11" t="n"/>
    </row>
    <row r="374">
      <c r="A374" s="11" t="inlineStr">
        <is>
          <t>PRS-LV-E-Q</t>
        </is>
      </c>
      <c r="B374" s="11" t="inlineStr">
        <is>
          <t>Power meter PM5560</t>
        </is>
      </c>
      <c r="C374" s="11" t="inlineStr">
        <is>
          <t>Reactive energy</t>
        </is>
      </c>
      <c r="D374" s="11" t="inlineStr">
        <is>
          <t>Read</t>
        </is>
      </c>
      <c r="E374" s="11" t="inlineStr">
        <is>
          <t>Counter</t>
        </is>
      </c>
      <c r="F374" s="11" t="inlineStr">
        <is>
          <t>kvarh</t>
        </is>
      </c>
      <c r="G374" s="11" t="inlineStr">
        <is>
          <t>Modbus TCP</t>
        </is>
      </c>
      <c r="H374" s="11" t="inlineStr">
        <is>
          <t>-</t>
        </is>
      </c>
      <c r="I374" s="11" t="inlineStr">
        <is>
          <t>-</t>
        </is>
      </c>
      <c r="J374" s="11" t="inlineStr">
        <is>
          <t>-</t>
        </is>
      </c>
      <c r="K374" s="11" t="n"/>
    </row>
    <row r="375">
      <c r="A375" s="11" t="inlineStr">
        <is>
          <t>PRS-LV-THD-U</t>
        </is>
      </c>
      <c r="B375" s="11" t="inlineStr">
        <is>
          <t>Power meter PM5560</t>
        </is>
      </c>
      <c r="C375" s="11" t="inlineStr">
        <is>
          <t>Voltage THD</t>
        </is>
      </c>
      <c r="D375" s="11" t="inlineStr">
        <is>
          <t>Read</t>
        </is>
      </c>
      <c r="E375" s="11" t="inlineStr">
        <is>
          <t>Measured</t>
        </is>
      </c>
      <c r="F375" s="11" t="inlineStr">
        <is>
          <t>%</t>
        </is>
      </c>
      <c r="G375" s="11" t="inlineStr">
        <is>
          <t>Modbus TCP</t>
        </is>
      </c>
      <c r="H375" s="11" t="inlineStr">
        <is>
          <t>-</t>
        </is>
      </c>
      <c r="I375" s="11" t="inlineStr">
        <is>
          <t>-</t>
        </is>
      </c>
      <c r="J375" s="11" t="inlineStr">
        <is>
          <t>-</t>
        </is>
      </c>
      <c r="K375" s="11" t="n"/>
    </row>
    <row r="376">
      <c r="A376" s="11" t="inlineStr">
        <is>
          <t>PRS-LV-THD-I</t>
        </is>
      </c>
      <c r="B376" s="11" t="inlineStr">
        <is>
          <t>Power meter PM5560</t>
        </is>
      </c>
      <c r="C376" s="11" t="inlineStr">
        <is>
          <t>Current THD</t>
        </is>
      </c>
      <c r="D376" s="11" t="inlineStr">
        <is>
          <t>Read</t>
        </is>
      </c>
      <c r="E376" s="11" t="inlineStr">
        <is>
          <t>Measured</t>
        </is>
      </c>
      <c r="F376" s="11" t="inlineStr">
        <is>
          <t>%</t>
        </is>
      </c>
      <c r="G376" s="11" t="inlineStr">
        <is>
          <t>Modbus TCP</t>
        </is>
      </c>
      <c r="H376" s="11" t="inlineStr">
        <is>
          <t>-</t>
        </is>
      </c>
      <c r="I376" s="11" t="inlineStr">
        <is>
          <t>-</t>
        </is>
      </c>
      <c r="J376" s="11" t="inlineStr">
        <is>
          <t>-</t>
        </is>
      </c>
      <c r="K376" s="11" t="n"/>
    </row>
    <row r="377">
      <c r="A377" s="11" t="inlineStr">
        <is>
          <t>PMS-LV-U-L1N</t>
        </is>
      </c>
      <c r="B377" s="11" t="inlineStr">
        <is>
          <t>Power meter PM5560</t>
        </is>
      </c>
      <c r="C377" s="11" t="inlineStr">
        <is>
          <t>Voltage L-N, 3 phases (3 points)</t>
        </is>
      </c>
      <c r="D377" s="11" t="inlineStr">
        <is>
          <t>Read</t>
        </is>
      </c>
      <c r="E377" s="11" t="inlineStr">
        <is>
          <t>Measured</t>
        </is>
      </c>
      <c r="F377" s="11" t="inlineStr">
        <is>
          <t>V</t>
        </is>
      </c>
      <c r="G377" s="11" t="inlineStr">
        <is>
          <t>Modbus TCP</t>
        </is>
      </c>
      <c r="H377" s="11" t="inlineStr">
        <is>
          <t>-</t>
        </is>
      </c>
      <c r="I377" s="11" t="inlineStr">
        <is>
          <t>-</t>
        </is>
      </c>
      <c r="J377" s="11" t="inlineStr">
        <is>
          <t>-</t>
        </is>
      </c>
      <c r="K377" s="11" t="n"/>
    </row>
    <row r="378">
      <c r="A378" s="11" t="inlineStr">
        <is>
          <t>PMS-LV-U-L2N</t>
        </is>
      </c>
      <c r="B378" s="11" t="inlineStr">
        <is>
          <t>Power meter PM5560</t>
        </is>
      </c>
      <c r="C378" s="11" t="inlineStr">
        <is>
          <t>Voltage L-N, 3 phases (3 points)</t>
        </is>
      </c>
      <c r="D378" s="11" t="inlineStr">
        <is>
          <t>Read</t>
        </is>
      </c>
      <c r="E378" s="11" t="inlineStr">
        <is>
          <t>Measured</t>
        </is>
      </c>
      <c r="F378" s="11" t="inlineStr">
        <is>
          <t>V</t>
        </is>
      </c>
      <c r="G378" s="11" t="inlineStr">
        <is>
          <t>Modbus TCP</t>
        </is>
      </c>
      <c r="H378" s="11" t="inlineStr">
        <is>
          <t>-</t>
        </is>
      </c>
      <c r="I378" s="11" t="inlineStr">
        <is>
          <t>-</t>
        </is>
      </c>
      <c r="J378" s="11" t="inlineStr">
        <is>
          <t>-</t>
        </is>
      </c>
      <c r="K378" s="11" t="n"/>
    </row>
    <row r="379">
      <c r="A379" s="11" t="inlineStr">
        <is>
          <t>PMS-LV-U-L3N</t>
        </is>
      </c>
      <c r="B379" s="11" t="inlineStr">
        <is>
          <t>Power meter PM5560</t>
        </is>
      </c>
      <c r="C379" s="11" t="inlineStr">
        <is>
          <t>Voltage L-N, 3 phases (3 points)</t>
        </is>
      </c>
      <c r="D379" s="11" t="inlineStr">
        <is>
          <t>Read</t>
        </is>
      </c>
      <c r="E379" s="11" t="inlineStr">
        <is>
          <t>Measured</t>
        </is>
      </c>
      <c r="F379" s="11" t="inlineStr">
        <is>
          <t>V</t>
        </is>
      </c>
      <c r="G379" s="11" t="inlineStr">
        <is>
          <t>Modbus TCP</t>
        </is>
      </c>
      <c r="H379" s="11" t="inlineStr">
        <is>
          <t>-</t>
        </is>
      </c>
      <c r="I379" s="11" t="inlineStr">
        <is>
          <t>-</t>
        </is>
      </c>
      <c r="J379" s="11" t="inlineStr">
        <is>
          <t>-</t>
        </is>
      </c>
      <c r="K379" s="11" t="n"/>
    </row>
    <row r="380">
      <c r="A380" s="11" t="inlineStr">
        <is>
          <t>PMS-LV-I-L1</t>
        </is>
      </c>
      <c r="B380" s="11" t="inlineStr">
        <is>
          <t>Power meter PM5560</t>
        </is>
      </c>
      <c r="C380" s="11" t="inlineStr">
        <is>
          <t>Current, 3 phases (3 points)</t>
        </is>
      </c>
      <c r="D380" s="11" t="inlineStr">
        <is>
          <t>Read</t>
        </is>
      </c>
      <c r="E380" s="11" t="inlineStr">
        <is>
          <t>Measured</t>
        </is>
      </c>
      <c r="F380" s="11" t="inlineStr">
        <is>
          <t>A</t>
        </is>
      </c>
      <c r="G380" s="11" t="inlineStr">
        <is>
          <t>Modbus TCP</t>
        </is>
      </c>
      <c r="H380" s="11" t="inlineStr">
        <is>
          <t>-</t>
        </is>
      </c>
      <c r="I380" s="11" t="inlineStr">
        <is>
          <t>-</t>
        </is>
      </c>
      <c r="J380" s="11" t="inlineStr">
        <is>
          <t>-</t>
        </is>
      </c>
      <c r="K380" s="11" t="n"/>
    </row>
    <row r="381">
      <c r="A381" s="11" t="inlineStr">
        <is>
          <t>PMS-LV-I-L2</t>
        </is>
      </c>
      <c r="B381" s="11" t="inlineStr">
        <is>
          <t>Power meter PM5560</t>
        </is>
      </c>
      <c r="C381" s="11" t="inlineStr">
        <is>
          <t>Current, 3 phases (3 points)</t>
        </is>
      </c>
      <c r="D381" s="11" t="inlineStr">
        <is>
          <t>Read</t>
        </is>
      </c>
      <c r="E381" s="11" t="inlineStr">
        <is>
          <t>Measured</t>
        </is>
      </c>
      <c r="F381" s="11" t="inlineStr">
        <is>
          <t>A</t>
        </is>
      </c>
      <c r="G381" s="11" t="inlineStr">
        <is>
          <t>Modbus TCP</t>
        </is>
      </c>
      <c r="H381" s="11" t="inlineStr">
        <is>
          <t>-</t>
        </is>
      </c>
      <c r="I381" s="11" t="inlineStr">
        <is>
          <t>-</t>
        </is>
      </c>
      <c r="J381" s="11" t="inlineStr">
        <is>
          <t>-</t>
        </is>
      </c>
      <c r="K381" s="11" t="n"/>
    </row>
    <row r="382">
      <c r="A382" s="11" t="inlineStr">
        <is>
          <t>PMS-LV-I-L3</t>
        </is>
      </c>
      <c r="B382" s="11" t="inlineStr">
        <is>
          <t>Power meter PM5560</t>
        </is>
      </c>
      <c r="C382" s="11" t="inlineStr">
        <is>
          <t>Current, 3 phases (3 points)</t>
        </is>
      </c>
      <c r="D382" s="11" t="inlineStr">
        <is>
          <t>Read</t>
        </is>
      </c>
      <c r="E382" s="11" t="inlineStr">
        <is>
          <t>Measured</t>
        </is>
      </c>
      <c r="F382" s="11" t="inlineStr">
        <is>
          <t>A</t>
        </is>
      </c>
      <c r="G382" s="11" t="inlineStr">
        <is>
          <t>Modbus TCP</t>
        </is>
      </c>
      <c r="H382" s="11" t="inlineStr">
        <is>
          <t>-</t>
        </is>
      </c>
      <c r="I382" s="11" t="inlineStr">
        <is>
          <t>-</t>
        </is>
      </c>
      <c r="J382" s="11" t="inlineStr">
        <is>
          <t>-</t>
        </is>
      </c>
      <c r="K382" s="11" t="n"/>
    </row>
    <row r="383">
      <c r="A383" s="11" t="inlineStr">
        <is>
          <t>PMS-LV-P</t>
        </is>
      </c>
      <c r="B383" s="11" t="inlineStr">
        <is>
          <t>Power meter PM5560</t>
        </is>
      </c>
      <c r="C383" s="11" t="inlineStr">
        <is>
          <t>Active power</t>
        </is>
      </c>
      <c r="D383" s="11" t="inlineStr">
        <is>
          <t>Read</t>
        </is>
      </c>
      <c r="E383" s="11" t="inlineStr">
        <is>
          <t>Measured</t>
        </is>
      </c>
      <c r="F383" s="11" t="inlineStr">
        <is>
          <t>kW</t>
        </is>
      </c>
      <c r="G383" s="11" t="inlineStr">
        <is>
          <t>Modbus TCP</t>
        </is>
      </c>
      <c r="H383" s="11" t="inlineStr">
        <is>
          <t>-</t>
        </is>
      </c>
      <c r="I383" s="11" t="inlineStr">
        <is>
          <t>-</t>
        </is>
      </c>
      <c r="J383" s="11" t="inlineStr">
        <is>
          <t>-</t>
        </is>
      </c>
      <c r="K383" s="11" t="n"/>
    </row>
    <row r="384">
      <c r="A384" s="11" t="inlineStr">
        <is>
          <t>PMS-LV-Q</t>
        </is>
      </c>
      <c r="B384" s="11" t="inlineStr">
        <is>
          <t>Power meter PM5560</t>
        </is>
      </c>
      <c r="C384" s="11" t="inlineStr">
        <is>
          <t>Reactive power</t>
        </is>
      </c>
      <c r="D384" s="11" t="inlineStr">
        <is>
          <t>Read</t>
        </is>
      </c>
      <c r="E384" s="11" t="inlineStr">
        <is>
          <t>Measured</t>
        </is>
      </c>
      <c r="F384" s="11" t="inlineStr">
        <is>
          <t>kvar</t>
        </is>
      </c>
      <c r="G384" s="11" t="inlineStr">
        <is>
          <t>Modbus TCP</t>
        </is>
      </c>
      <c r="H384" s="11" t="inlineStr">
        <is>
          <t>-</t>
        </is>
      </c>
      <c r="I384" s="11" t="inlineStr">
        <is>
          <t>-</t>
        </is>
      </c>
      <c r="J384" s="11" t="inlineStr">
        <is>
          <t>-</t>
        </is>
      </c>
      <c r="K384" s="11" t="n"/>
    </row>
    <row r="385">
      <c r="A385" s="11" t="inlineStr">
        <is>
          <t>PMS-LV-S</t>
        </is>
      </c>
      <c r="B385" s="11" t="inlineStr">
        <is>
          <t>Power meter PM5560</t>
        </is>
      </c>
      <c r="C385" s="11" t="inlineStr">
        <is>
          <t>Apparent power</t>
        </is>
      </c>
      <c r="D385" s="11" t="inlineStr">
        <is>
          <t>Read</t>
        </is>
      </c>
      <c r="E385" s="11" t="inlineStr">
        <is>
          <t>Measured</t>
        </is>
      </c>
      <c r="F385" s="11" t="inlineStr">
        <is>
          <t>kVA</t>
        </is>
      </c>
      <c r="G385" s="11" t="inlineStr">
        <is>
          <t>Modbus TCP</t>
        </is>
      </c>
      <c r="H385" s="11" t="inlineStr">
        <is>
          <t>-</t>
        </is>
      </c>
      <c r="I385" s="11" t="inlineStr">
        <is>
          <t>-</t>
        </is>
      </c>
      <c r="J385" s="11" t="inlineStr">
        <is>
          <t>-</t>
        </is>
      </c>
      <c r="K385" s="11" t="n"/>
    </row>
    <row r="386">
      <c r="A386" s="11" t="inlineStr">
        <is>
          <t>PMS-LV-PF</t>
        </is>
      </c>
      <c r="B386" s="11" t="inlineStr">
        <is>
          <t>Power meter PM5560</t>
        </is>
      </c>
      <c r="C386" s="11" t="inlineStr">
        <is>
          <t>Power factor</t>
        </is>
      </c>
      <c r="D386" s="11" t="inlineStr">
        <is>
          <t>Read</t>
        </is>
      </c>
      <c r="E386" s="11" t="inlineStr">
        <is>
          <t>Measured</t>
        </is>
      </c>
      <c r="F386" s="11" t="inlineStr">
        <is>
          <t>-</t>
        </is>
      </c>
      <c r="G386" s="11" t="inlineStr">
        <is>
          <t>Modbus TCP</t>
        </is>
      </c>
      <c r="H386" s="11" t="inlineStr">
        <is>
          <t>-</t>
        </is>
      </c>
      <c r="I386" s="11" t="inlineStr">
        <is>
          <t>-</t>
        </is>
      </c>
      <c r="J386" s="11" t="inlineStr">
        <is>
          <t>-</t>
        </is>
      </c>
      <c r="K386" s="11" t="n"/>
    </row>
    <row r="387">
      <c r="A387" s="11" t="inlineStr">
        <is>
          <t>PMS-LV-F</t>
        </is>
      </c>
      <c r="B387" s="11" t="inlineStr">
        <is>
          <t>Power meter PM5560</t>
        </is>
      </c>
      <c r="C387" s="11" t="inlineStr">
        <is>
          <t>Frequency</t>
        </is>
      </c>
      <c r="D387" s="11" t="inlineStr">
        <is>
          <t>Read</t>
        </is>
      </c>
      <c r="E387" s="11" t="inlineStr">
        <is>
          <t>Measured</t>
        </is>
      </c>
      <c r="F387" s="11" t="inlineStr">
        <is>
          <t>Hz</t>
        </is>
      </c>
      <c r="G387" s="11" t="inlineStr">
        <is>
          <t>Modbus TCP</t>
        </is>
      </c>
      <c r="H387" s="11" t="inlineStr">
        <is>
          <t>-</t>
        </is>
      </c>
      <c r="I387" s="11" t="inlineStr">
        <is>
          <t>-</t>
        </is>
      </c>
      <c r="J387" s="11" t="inlineStr">
        <is>
          <t>-</t>
        </is>
      </c>
      <c r="K387" s="11" t="n"/>
    </row>
    <row r="388">
      <c r="A388" s="11" t="inlineStr">
        <is>
          <t>PMS-LV-E-P</t>
        </is>
      </c>
      <c r="B388" s="11" t="inlineStr">
        <is>
          <t>Power meter PM5560</t>
        </is>
      </c>
      <c r="C388" s="11" t="inlineStr">
        <is>
          <t>Active energy</t>
        </is>
      </c>
      <c r="D388" s="11" t="inlineStr">
        <is>
          <t>Read</t>
        </is>
      </c>
      <c r="E388" s="11" t="inlineStr">
        <is>
          <t>Counter</t>
        </is>
      </c>
      <c r="F388" s="11" t="inlineStr">
        <is>
          <t>kWh</t>
        </is>
      </c>
      <c r="G388" s="11" t="inlineStr">
        <is>
          <t>Modbus TCP</t>
        </is>
      </c>
      <c r="H388" s="11" t="inlineStr">
        <is>
          <t>-</t>
        </is>
      </c>
      <c r="I388" s="11" t="inlineStr">
        <is>
          <t>-</t>
        </is>
      </c>
      <c r="J388" s="11" t="inlineStr">
        <is>
          <t>-</t>
        </is>
      </c>
      <c r="K388" s="11" t="n"/>
    </row>
    <row r="389">
      <c r="A389" s="11" t="inlineStr">
        <is>
          <t>PMS-LV-E-Q</t>
        </is>
      </c>
      <c r="B389" s="11" t="inlineStr">
        <is>
          <t>Power meter PM5560</t>
        </is>
      </c>
      <c r="C389" s="11" t="inlineStr">
        <is>
          <t>Reactive energy</t>
        </is>
      </c>
      <c r="D389" s="11" t="inlineStr">
        <is>
          <t>Read</t>
        </is>
      </c>
      <c r="E389" s="11" t="inlineStr">
        <is>
          <t>Counter</t>
        </is>
      </c>
      <c r="F389" s="11" t="inlineStr">
        <is>
          <t>kvarh</t>
        </is>
      </c>
      <c r="G389" s="11" t="inlineStr">
        <is>
          <t>Modbus TCP</t>
        </is>
      </c>
      <c r="H389" s="11" t="inlineStr">
        <is>
          <t>-</t>
        </is>
      </c>
      <c r="I389" s="11" t="inlineStr">
        <is>
          <t>-</t>
        </is>
      </c>
      <c r="J389" s="11" t="inlineStr">
        <is>
          <t>-</t>
        </is>
      </c>
      <c r="K389" s="11" t="n"/>
    </row>
    <row r="390">
      <c r="A390" s="11" t="inlineStr">
        <is>
          <t>PMS-LV-THD-U</t>
        </is>
      </c>
      <c r="B390" s="11" t="inlineStr">
        <is>
          <t>Power meter PM5560</t>
        </is>
      </c>
      <c r="C390" s="11" t="inlineStr">
        <is>
          <t>Voltage THD</t>
        </is>
      </c>
      <c r="D390" s="11" t="inlineStr">
        <is>
          <t>Read</t>
        </is>
      </c>
      <c r="E390" s="11" t="inlineStr">
        <is>
          <t>Measured</t>
        </is>
      </c>
      <c r="F390" s="11" t="inlineStr">
        <is>
          <t>%</t>
        </is>
      </c>
      <c r="G390" s="11" t="inlineStr">
        <is>
          <t>Modbus TCP</t>
        </is>
      </c>
      <c r="H390" s="11" t="inlineStr">
        <is>
          <t>-</t>
        </is>
      </c>
      <c r="I390" s="11" t="inlineStr">
        <is>
          <t>-</t>
        </is>
      </c>
      <c r="J390" s="11" t="inlineStr">
        <is>
          <t>-</t>
        </is>
      </c>
      <c r="K390" s="11" t="n"/>
    </row>
    <row r="391">
      <c r="A391" s="11" t="inlineStr">
        <is>
          <t>PMS-LV-THD-I</t>
        </is>
      </c>
      <c r="B391" s="11" t="inlineStr">
        <is>
          <t>Power meter PM5560</t>
        </is>
      </c>
      <c r="C391" s="11" t="inlineStr">
        <is>
          <t>Current THD</t>
        </is>
      </c>
      <c r="D391" s="11" t="inlineStr">
        <is>
          <t>Read</t>
        </is>
      </c>
      <c r="E391" s="11" t="inlineStr">
        <is>
          <t>Measured</t>
        </is>
      </c>
      <c r="F391" s="11" t="inlineStr">
        <is>
          <t>%</t>
        </is>
      </c>
      <c r="G391" s="11" t="inlineStr">
        <is>
          <t>Modbus TCP</t>
        </is>
      </c>
      <c r="H391" s="11" t="inlineStr">
        <is>
          <t>-</t>
        </is>
      </c>
      <c r="I391" s="11" t="inlineStr">
        <is>
          <t>-</t>
        </is>
      </c>
      <c r="J391" s="11" t="inlineStr">
        <is>
          <t>-</t>
        </is>
      </c>
      <c r="K391" s="11" t="n"/>
    </row>
    <row r="392">
      <c r="A392" s="11" t="inlineStr">
        <is>
          <t>AUXLV-U-L1N</t>
        </is>
      </c>
      <c r="B392" s="11" t="inlineStr">
        <is>
          <t>Power meter PM5560</t>
        </is>
      </c>
      <c r="C392" s="11" t="inlineStr">
        <is>
          <t>Voltage L-N, 3 phases (3 points)</t>
        </is>
      </c>
      <c r="D392" s="11" t="inlineStr">
        <is>
          <t>Read</t>
        </is>
      </c>
      <c r="E392" s="11" t="inlineStr">
        <is>
          <t>Measured</t>
        </is>
      </c>
      <c r="F392" s="11" t="inlineStr">
        <is>
          <t>V</t>
        </is>
      </c>
      <c r="G392" s="11" t="inlineStr">
        <is>
          <t>Modbus TCP</t>
        </is>
      </c>
      <c r="H392" s="11" t="inlineStr">
        <is>
          <t>-</t>
        </is>
      </c>
      <c r="I392" s="11" t="inlineStr">
        <is>
          <t>-</t>
        </is>
      </c>
      <c r="J392" s="11" t="inlineStr">
        <is>
          <t>-</t>
        </is>
      </c>
      <c r="K392" s="11" t="n"/>
    </row>
    <row r="393">
      <c r="A393" s="11" t="inlineStr">
        <is>
          <t>AUXLV-U-L2N</t>
        </is>
      </c>
      <c r="B393" s="11" t="inlineStr">
        <is>
          <t>Power meter PM5560</t>
        </is>
      </c>
      <c r="C393" s="11" t="inlineStr">
        <is>
          <t>Voltage L-N, 3 phases (3 points)</t>
        </is>
      </c>
      <c r="D393" s="11" t="inlineStr">
        <is>
          <t>Read</t>
        </is>
      </c>
      <c r="E393" s="11" t="inlineStr">
        <is>
          <t>Measured</t>
        </is>
      </c>
      <c r="F393" s="11" t="inlineStr">
        <is>
          <t>V</t>
        </is>
      </c>
      <c r="G393" s="11" t="inlineStr">
        <is>
          <t>Modbus TCP</t>
        </is>
      </c>
      <c r="H393" s="11" t="inlineStr">
        <is>
          <t>-</t>
        </is>
      </c>
      <c r="I393" s="11" t="inlineStr">
        <is>
          <t>-</t>
        </is>
      </c>
      <c r="J393" s="11" t="inlineStr">
        <is>
          <t>-</t>
        </is>
      </c>
      <c r="K393" s="11" t="n"/>
    </row>
    <row r="394">
      <c r="A394" s="11" t="inlineStr">
        <is>
          <t>AUXLV-U-L3N</t>
        </is>
      </c>
      <c r="B394" s="11" t="inlineStr">
        <is>
          <t>Power meter PM5560</t>
        </is>
      </c>
      <c r="C394" s="11" t="inlineStr">
        <is>
          <t>Voltage L-N, 3 phases (3 points)</t>
        </is>
      </c>
      <c r="D394" s="11" t="inlineStr">
        <is>
          <t>Read</t>
        </is>
      </c>
      <c r="E394" s="11" t="inlineStr">
        <is>
          <t>Measured</t>
        </is>
      </c>
      <c r="F394" s="11" t="inlineStr">
        <is>
          <t>V</t>
        </is>
      </c>
      <c r="G394" s="11" t="inlineStr">
        <is>
          <t>Modbus TCP</t>
        </is>
      </c>
      <c r="H394" s="11" t="inlineStr">
        <is>
          <t>-</t>
        </is>
      </c>
      <c r="I394" s="11" t="inlineStr">
        <is>
          <t>-</t>
        </is>
      </c>
      <c r="J394" s="11" t="inlineStr">
        <is>
          <t>-</t>
        </is>
      </c>
      <c r="K394" s="11" t="n"/>
    </row>
    <row r="395">
      <c r="A395" s="11" t="inlineStr">
        <is>
          <t>AUXLV-I-L1</t>
        </is>
      </c>
      <c r="B395" s="11" t="inlineStr">
        <is>
          <t>Power meter PM5560</t>
        </is>
      </c>
      <c r="C395" s="11" t="inlineStr">
        <is>
          <t>Current, 3 phases (3 points)</t>
        </is>
      </c>
      <c r="D395" s="11" t="inlineStr">
        <is>
          <t>Read</t>
        </is>
      </c>
      <c r="E395" s="11" t="inlineStr">
        <is>
          <t>Measured</t>
        </is>
      </c>
      <c r="F395" s="11" t="inlineStr">
        <is>
          <t>A</t>
        </is>
      </c>
      <c r="G395" s="11" t="inlineStr">
        <is>
          <t>Modbus TCP</t>
        </is>
      </c>
      <c r="H395" s="11" t="inlineStr">
        <is>
          <t>-</t>
        </is>
      </c>
      <c r="I395" s="11" t="inlineStr">
        <is>
          <t>-</t>
        </is>
      </c>
      <c r="J395" s="11" t="inlineStr">
        <is>
          <t>-</t>
        </is>
      </c>
      <c r="K395" s="11" t="n"/>
    </row>
    <row r="396">
      <c r="A396" s="11" t="inlineStr">
        <is>
          <t>AUXLV-I-L2</t>
        </is>
      </c>
      <c r="B396" s="11" t="inlineStr">
        <is>
          <t>Power meter PM5560</t>
        </is>
      </c>
      <c r="C396" s="11" t="inlineStr">
        <is>
          <t>Current, 3 phases (3 points)</t>
        </is>
      </c>
      <c r="D396" s="11" t="inlineStr">
        <is>
          <t>Read</t>
        </is>
      </c>
      <c r="E396" s="11" t="inlineStr">
        <is>
          <t>Measured</t>
        </is>
      </c>
      <c r="F396" s="11" t="inlineStr">
        <is>
          <t>A</t>
        </is>
      </c>
      <c r="G396" s="11" t="inlineStr">
        <is>
          <t>Modbus TCP</t>
        </is>
      </c>
      <c r="H396" s="11" t="inlineStr">
        <is>
          <t>-</t>
        </is>
      </c>
      <c r="I396" s="11" t="inlineStr">
        <is>
          <t>-</t>
        </is>
      </c>
      <c r="J396" s="11" t="inlineStr">
        <is>
          <t>-</t>
        </is>
      </c>
      <c r="K396" s="11" t="n"/>
    </row>
    <row r="397">
      <c r="A397" s="11" t="inlineStr">
        <is>
          <t>AUXLV-I-L3</t>
        </is>
      </c>
      <c r="B397" s="11" t="inlineStr">
        <is>
          <t>Power meter PM5560</t>
        </is>
      </c>
      <c r="C397" s="11" t="inlineStr">
        <is>
          <t>Current, 3 phases (3 points)</t>
        </is>
      </c>
      <c r="D397" s="11" t="inlineStr">
        <is>
          <t>Read</t>
        </is>
      </c>
      <c r="E397" s="11" t="inlineStr">
        <is>
          <t>Measured</t>
        </is>
      </c>
      <c r="F397" s="11" t="inlineStr">
        <is>
          <t>A</t>
        </is>
      </c>
      <c r="G397" s="11" t="inlineStr">
        <is>
          <t>Modbus TCP</t>
        </is>
      </c>
      <c r="H397" s="11" t="inlineStr">
        <is>
          <t>-</t>
        </is>
      </c>
      <c r="I397" s="11" t="inlineStr">
        <is>
          <t>-</t>
        </is>
      </c>
      <c r="J397" s="11" t="inlineStr">
        <is>
          <t>-</t>
        </is>
      </c>
      <c r="K397" s="11" t="n"/>
    </row>
    <row r="398">
      <c r="A398" s="11" t="inlineStr">
        <is>
          <t>AUXLV-P</t>
        </is>
      </c>
      <c r="B398" s="11" t="inlineStr">
        <is>
          <t>Power meter PM5560</t>
        </is>
      </c>
      <c r="C398" s="11" t="inlineStr">
        <is>
          <t>Active power</t>
        </is>
      </c>
      <c r="D398" s="11" t="inlineStr">
        <is>
          <t>Read</t>
        </is>
      </c>
      <c r="E398" s="11" t="inlineStr">
        <is>
          <t>Measured</t>
        </is>
      </c>
      <c r="F398" s="11" t="inlineStr">
        <is>
          <t>kW</t>
        </is>
      </c>
      <c r="G398" s="11" t="inlineStr">
        <is>
          <t>Modbus TCP</t>
        </is>
      </c>
      <c r="H398" s="11" t="inlineStr">
        <is>
          <t>-</t>
        </is>
      </c>
      <c r="I398" s="11" t="inlineStr">
        <is>
          <t>-</t>
        </is>
      </c>
      <c r="J398" s="11" t="inlineStr">
        <is>
          <t>-</t>
        </is>
      </c>
      <c r="K398" s="11" t="n"/>
    </row>
    <row r="399">
      <c r="A399" s="11" t="inlineStr">
        <is>
          <t>AUXLV-Q</t>
        </is>
      </c>
      <c r="B399" s="11" t="inlineStr">
        <is>
          <t>Power meter PM5560</t>
        </is>
      </c>
      <c r="C399" s="11" t="inlineStr">
        <is>
          <t>Reactive power</t>
        </is>
      </c>
      <c r="D399" s="11" t="inlineStr">
        <is>
          <t>Read</t>
        </is>
      </c>
      <c r="E399" s="11" t="inlineStr">
        <is>
          <t>Measured</t>
        </is>
      </c>
      <c r="F399" s="11" t="inlineStr">
        <is>
          <t>kvar</t>
        </is>
      </c>
      <c r="G399" s="11" t="inlineStr">
        <is>
          <t>Modbus TCP</t>
        </is>
      </c>
      <c r="H399" s="11" t="inlineStr">
        <is>
          <t>-</t>
        </is>
      </c>
      <c r="I399" s="11" t="inlineStr">
        <is>
          <t>-</t>
        </is>
      </c>
      <c r="J399" s="11" t="inlineStr">
        <is>
          <t>-</t>
        </is>
      </c>
      <c r="K399" s="11" t="n"/>
    </row>
    <row r="400">
      <c r="A400" s="11" t="inlineStr">
        <is>
          <t>AUXLV-S</t>
        </is>
      </c>
      <c r="B400" s="11" t="inlineStr">
        <is>
          <t>Power meter PM5560</t>
        </is>
      </c>
      <c r="C400" s="11" t="inlineStr">
        <is>
          <t>Apparent power</t>
        </is>
      </c>
      <c r="D400" s="11" t="inlineStr">
        <is>
          <t>Read</t>
        </is>
      </c>
      <c r="E400" s="11" t="inlineStr">
        <is>
          <t>Measured</t>
        </is>
      </c>
      <c r="F400" s="11" t="inlineStr">
        <is>
          <t>kVA</t>
        </is>
      </c>
      <c r="G400" s="11" t="inlineStr">
        <is>
          <t>Modbus TCP</t>
        </is>
      </c>
      <c r="H400" s="11" t="inlineStr">
        <is>
          <t>-</t>
        </is>
      </c>
      <c r="I400" s="11" t="inlineStr">
        <is>
          <t>-</t>
        </is>
      </c>
      <c r="J400" s="11" t="inlineStr">
        <is>
          <t>-</t>
        </is>
      </c>
      <c r="K400" s="11" t="n"/>
    </row>
    <row r="401">
      <c r="A401" s="11" t="inlineStr">
        <is>
          <t>AUXLV-PF</t>
        </is>
      </c>
      <c r="B401" s="11" t="inlineStr">
        <is>
          <t>Power meter PM5560</t>
        </is>
      </c>
      <c r="C401" s="11" t="inlineStr">
        <is>
          <t>Power factor</t>
        </is>
      </c>
      <c r="D401" s="11" t="inlineStr">
        <is>
          <t>Read</t>
        </is>
      </c>
      <c r="E401" s="11" t="inlineStr">
        <is>
          <t>Measured</t>
        </is>
      </c>
      <c r="F401" s="11" t="inlineStr">
        <is>
          <t>-</t>
        </is>
      </c>
      <c r="G401" s="11" t="inlineStr">
        <is>
          <t>Modbus TCP</t>
        </is>
      </c>
      <c r="H401" s="11" t="inlineStr">
        <is>
          <t>-</t>
        </is>
      </c>
      <c r="I401" s="11" t="inlineStr">
        <is>
          <t>-</t>
        </is>
      </c>
      <c r="J401" s="11" t="inlineStr">
        <is>
          <t>-</t>
        </is>
      </c>
      <c r="K401" s="11" t="n"/>
    </row>
    <row r="402">
      <c r="A402" s="11" t="inlineStr">
        <is>
          <t>AUXLV-F</t>
        </is>
      </c>
      <c r="B402" s="11" t="inlineStr">
        <is>
          <t>Power meter PM5560</t>
        </is>
      </c>
      <c r="C402" s="11" t="inlineStr">
        <is>
          <t>Frequency</t>
        </is>
      </c>
      <c r="D402" s="11" t="inlineStr">
        <is>
          <t>Read</t>
        </is>
      </c>
      <c r="E402" s="11" t="inlineStr">
        <is>
          <t>Measured</t>
        </is>
      </c>
      <c r="F402" s="11" t="inlineStr">
        <is>
          <t>Hz</t>
        </is>
      </c>
      <c r="G402" s="11" t="inlineStr">
        <is>
          <t>Modbus TCP</t>
        </is>
      </c>
      <c r="H402" s="11" t="inlineStr">
        <is>
          <t>-</t>
        </is>
      </c>
      <c r="I402" s="11" t="inlineStr">
        <is>
          <t>-</t>
        </is>
      </c>
      <c r="J402" s="11" t="inlineStr">
        <is>
          <t>-</t>
        </is>
      </c>
      <c r="K402" s="11" t="n"/>
    </row>
    <row r="403">
      <c r="A403" s="11" t="inlineStr">
        <is>
          <t>AUXLV-E-P</t>
        </is>
      </c>
      <c r="B403" s="11" t="inlineStr">
        <is>
          <t>Power meter PM5560</t>
        </is>
      </c>
      <c r="C403" s="11" t="inlineStr">
        <is>
          <t>Active energy</t>
        </is>
      </c>
      <c r="D403" s="11" t="inlineStr">
        <is>
          <t>Read</t>
        </is>
      </c>
      <c r="E403" s="11" t="inlineStr">
        <is>
          <t>Counter</t>
        </is>
      </c>
      <c r="F403" s="11" t="inlineStr">
        <is>
          <t>kWh</t>
        </is>
      </c>
      <c r="G403" s="11" t="inlineStr">
        <is>
          <t>Modbus TCP</t>
        </is>
      </c>
      <c r="H403" s="11" t="inlineStr">
        <is>
          <t>-</t>
        </is>
      </c>
      <c r="I403" s="11" t="inlineStr">
        <is>
          <t>-</t>
        </is>
      </c>
      <c r="J403" s="11" t="inlineStr">
        <is>
          <t>-</t>
        </is>
      </c>
      <c r="K403" s="11" t="n"/>
    </row>
    <row r="404">
      <c r="A404" s="11" t="inlineStr">
        <is>
          <t>AUXLV-E-Q</t>
        </is>
      </c>
      <c r="B404" s="11" t="inlineStr">
        <is>
          <t>Power meter PM5560</t>
        </is>
      </c>
      <c r="C404" s="11" t="inlineStr">
        <is>
          <t>Reactive energy</t>
        </is>
      </c>
      <c r="D404" s="11" t="inlineStr">
        <is>
          <t>Read</t>
        </is>
      </c>
      <c r="E404" s="11" t="inlineStr">
        <is>
          <t>Counter</t>
        </is>
      </c>
      <c r="F404" s="11" t="inlineStr">
        <is>
          <t>kvarh</t>
        </is>
      </c>
      <c r="G404" s="11" t="inlineStr">
        <is>
          <t>Modbus TCP</t>
        </is>
      </c>
      <c r="H404" s="11" t="inlineStr">
        <is>
          <t>-</t>
        </is>
      </c>
      <c r="I404" s="11" t="inlineStr">
        <is>
          <t>-</t>
        </is>
      </c>
      <c r="J404" s="11" t="inlineStr">
        <is>
          <t>-</t>
        </is>
      </c>
      <c r="K404" s="11" t="n"/>
    </row>
    <row r="405">
      <c r="A405" s="11" t="inlineStr">
        <is>
          <t>AUXLV-THD-U</t>
        </is>
      </c>
      <c r="B405" s="11" t="inlineStr">
        <is>
          <t>Power meter PM5560</t>
        </is>
      </c>
      <c r="C405" s="11" t="inlineStr">
        <is>
          <t>Voltage THD</t>
        </is>
      </c>
      <c r="D405" s="11" t="inlineStr">
        <is>
          <t>Read</t>
        </is>
      </c>
      <c r="E405" s="11" t="inlineStr">
        <is>
          <t>Measured</t>
        </is>
      </c>
      <c r="F405" s="11" t="inlineStr">
        <is>
          <t>%</t>
        </is>
      </c>
      <c r="G405" s="11" t="inlineStr">
        <is>
          <t>Modbus TCP</t>
        </is>
      </c>
      <c r="H405" s="11" t="inlineStr">
        <is>
          <t>-</t>
        </is>
      </c>
      <c r="I405" s="11" t="inlineStr">
        <is>
          <t>-</t>
        </is>
      </c>
      <c r="J405" s="11" t="inlineStr">
        <is>
          <t>-</t>
        </is>
      </c>
      <c r="K405" s="11" t="n"/>
    </row>
    <row r="406">
      <c r="A406" s="11" t="inlineStr">
        <is>
          <t>AUXLV-THD-I</t>
        </is>
      </c>
      <c r="B406" s="11" t="inlineStr">
        <is>
          <t>Power meter PM5560</t>
        </is>
      </c>
      <c r="C406" s="11" t="inlineStr">
        <is>
          <t>Current THD</t>
        </is>
      </c>
      <c r="D406" s="11" t="inlineStr">
        <is>
          <t>Read</t>
        </is>
      </c>
      <c r="E406" s="11" t="inlineStr">
        <is>
          <t>Measured</t>
        </is>
      </c>
      <c r="F406" s="11" t="inlineStr">
        <is>
          <t>%</t>
        </is>
      </c>
      <c r="G406" s="11" t="inlineStr">
        <is>
          <t>Modbus TCP</t>
        </is>
      </c>
      <c r="H406" s="11" t="inlineStr">
        <is>
          <t>-</t>
        </is>
      </c>
      <c r="I406" s="11" t="inlineStr">
        <is>
          <t>-</t>
        </is>
      </c>
      <c r="J406" s="11" t="inlineStr">
        <is>
          <t>-</t>
        </is>
      </c>
      <c r="K406" s="11" t="n"/>
    </row>
    <row r="407">
      <c r="A407" s="11" t="inlineStr">
        <is>
          <t>WS-IRR-POA</t>
        </is>
      </c>
      <c r="B407" s="11" t="inlineStr">
        <is>
          <t>Weather logger blue'Log XM</t>
        </is>
      </c>
      <c r="C407" s="11" t="inlineStr">
        <is>
          <t>Plane-of-array irradiance</t>
        </is>
      </c>
      <c r="D407" s="11" t="inlineStr">
        <is>
          <t>Read</t>
        </is>
      </c>
      <c r="E407" s="11" t="inlineStr">
        <is>
          <t>Measured</t>
        </is>
      </c>
      <c r="F407" s="11" t="inlineStr">
        <is>
          <t>W/m2</t>
        </is>
      </c>
      <c r="G407" s="11" t="inlineStr">
        <is>
          <t>Modbus TCP</t>
        </is>
      </c>
      <c r="H407" s="11" t="inlineStr">
        <is>
          <t>-</t>
        </is>
      </c>
      <c r="I407" s="11" t="inlineStr">
        <is>
          <t>-</t>
        </is>
      </c>
      <c r="J407" s="11" t="inlineStr">
        <is>
          <t>-</t>
        </is>
      </c>
      <c r="K407" s="11" t="n"/>
    </row>
    <row r="408">
      <c r="A408" s="11" t="inlineStr">
        <is>
          <t>WS-WIND-SPD</t>
        </is>
      </c>
      <c r="B408" s="11" t="inlineStr">
        <is>
          <t>Weather logger blue'Log XM</t>
        </is>
      </c>
      <c r="C408" s="11" t="inlineStr">
        <is>
          <t>Wind speed</t>
        </is>
      </c>
      <c r="D408" s="11" t="inlineStr">
        <is>
          <t>Read</t>
        </is>
      </c>
      <c r="E408" s="11" t="inlineStr">
        <is>
          <t>Measured</t>
        </is>
      </c>
      <c r="F408" s="11" t="inlineStr">
        <is>
          <t>m/s</t>
        </is>
      </c>
      <c r="G408" s="11" t="inlineStr">
        <is>
          <t>Modbus TCP</t>
        </is>
      </c>
      <c r="H408" s="11" t="inlineStr">
        <is>
          <t>-</t>
        </is>
      </c>
      <c r="I408" s="11" t="inlineStr">
        <is>
          <t>-</t>
        </is>
      </c>
      <c r="J408" s="11" t="inlineStr">
        <is>
          <t>-</t>
        </is>
      </c>
      <c r="K408" s="11" t="n"/>
    </row>
    <row r="409">
      <c r="A409" s="11" t="inlineStr">
        <is>
          <t>WS-WIND-DIR</t>
        </is>
      </c>
      <c r="B409" s="11" t="inlineStr">
        <is>
          <t>Weather logger blue'Log XM</t>
        </is>
      </c>
      <c r="C409" s="11" t="inlineStr">
        <is>
          <t>Wind direction</t>
        </is>
      </c>
      <c r="D409" s="11" t="inlineStr">
        <is>
          <t>Read</t>
        </is>
      </c>
      <c r="E409" s="11" t="inlineStr">
        <is>
          <t>Measured</t>
        </is>
      </c>
      <c r="F409" s="11" t="inlineStr">
        <is>
          <t>deg</t>
        </is>
      </c>
      <c r="G409" s="11" t="inlineStr">
        <is>
          <t>Modbus TCP</t>
        </is>
      </c>
      <c r="H409" s="11" t="inlineStr">
        <is>
          <t>-</t>
        </is>
      </c>
      <c r="I409" s="11" t="inlineStr">
        <is>
          <t>-</t>
        </is>
      </c>
      <c r="J409" s="11" t="inlineStr">
        <is>
          <t>-</t>
        </is>
      </c>
      <c r="K409" s="11" t="n"/>
    </row>
    <row r="410">
      <c r="A410" s="11" t="inlineStr">
        <is>
          <t>WS-T-AMB</t>
        </is>
      </c>
      <c r="B410" s="11" t="inlineStr">
        <is>
          <t>Weather logger blue'Log XM</t>
        </is>
      </c>
      <c r="C410" s="11" t="inlineStr">
        <is>
          <t>Ambient temperature</t>
        </is>
      </c>
      <c r="D410" s="11" t="inlineStr">
        <is>
          <t>Read</t>
        </is>
      </c>
      <c r="E410" s="11" t="inlineStr">
        <is>
          <t>Measured</t>
        </is>
      </c>
      <c r="F410" s="11" t="inlineStr">
        <is>
          <t>deg C</t>
        </is>
      </c>
      <c r="G410" s="11" t="inlineStr">
        <is>
          <t>Modbus TCP</t>
        </is>
      </c>
      <c r="H410" s="11" t="inlineStr">
        <is>
          <t>-</t>
        </is>
      </c>
      <c r="I410" s="11" t="inlineStr">
        <is>
          <t>-</t>
        </is>
      </c>
      <c r="J410" s="11" t="inlineStr">
        <is>
          <t>-</t>
        </is>
      </c>
      <c r="K410" s="11" t="n"/>
    </row>
    <row r="411">
      <c r="A411" s="11" t="inlineStr">
        <is>
          <t>WS-T-MOD</t>
        </is>
      </c>
      <c r="B411" s="11" t="inlineStr">
        <is>
          <t>Weather logger blue'Log XM</t>
        </is>
      </c>
      <c r="C411" s="11" t="inlineStr">
        <is>
          <t>Module temperature</t>
        </is>
      </c>
      <c r="D411" s="11" t="inlineStr">
        <is>
          <t>Read</t>
        </is>
      </c>
      <c r="E411" s="11" t="inlineStr">
        <is>
          <t>Measured</t>
        </is>
      </c>
      <c r="F411" s="11" t="inlineStr">
        <is>
          <t>deg C</t>
        </is>
      </c>
      <c r="G411" s="11" t="inlineStr">
        <is>
          <t>Modbus TCP</t>
        </is>
      </c>
      <c r="H411" s="11" t="inlineStr">
        <is>
          <t>-</t>
        </is>
      </c>
      <c r="I411" s="11" t="inlineStr">
        <is>
          <t>-</t>
        </is>
      </c>
      <c r="J411" s="11" t="inlineStr">
        <is>
          <t>-</t>
        </is>
      </c>
      <c r="K411" s="11" t="n"/>
    </row>
    <row r="412">
      <c r="A412" s="11" t="inlineStr">
        <is>
          <t>WS-HEALTHY</t>
        </is>
      </c>
      <c r="B412" s="11" t="inlineStr">
        <is>
          <t>Weather logger blue'Log XM</t>
        </is>
      </c>
      <c r="C412" s="11" t="inlineStr">
        <is>
          <t>Logger healthy</t>
        </is>
      </c>
      <c r="D412" s="11" t="inlineStr">
        <is>
          <t>Read</t>
        </is>
      </c>
      <c r="E412" s="11" t="inlineStr">
        <is>
          <t>Status</t>
        </is>
      </c>
      <c r="F412" s="11" t="inlineStr">
        <is>
          <t>-</t>
        </is>
      </c>
      <c r="G412" s="11" t="inlineStr">
        <is>
          <t>Modbus TCP</t>
        </is>
      </c>
      <c r="H412" s="11" t="inlineStr">
        <is>
          <t>2</t>
        </is>
      </c>
      <c r="I412" s="11" t="inlineStr">
        <is>
          <t>Off</t>
        </is>
      </c>
      <c r="J412" s="11" t="inlineStr">
        <is>
          <t>-</t>
        </is>
      </c>
      <c r="K412" s="11" t="n"/>
    </row>
    <row r="413">
      <c r="A413" s="11" t="inlineStr">
        <is>
          <t>UPS-U-IN</t>
        </is>
      </c>
      <c r="B413" s="11" t="inlineStr">
        <is>
          <t>UPS</t>
        </is>
      </c>
      <c r="C413" s="11" t="inlineStr">
        <is>
          <t>Input voltage</t>
        </is>
      </c>
      <c r="D413" s="11" t="inlineStr">
        <is>
          <t>Read</t>
        </is>
      </c>
      <c r="E413" s="11" t="inlineStr">
        <is>
          <t>Measured</t>
        </is>
      </c>
      <c r="F413" s="11" t="inlineStr">
        <is>
          <t>V</t>
        </is>
      </c>
      <c r="G413" s="11" t="inlineStr">
        <is>
          <t>Modbus TCP or SNMP</t>
        </is>
      </c>
      <c r="H413" s="11" t="inlineStr">
        <is>
          <t>-</t>
        </is>
      </c>
      <c r="I413" s="11" t="inlineStr">
        <is>
          <t>-</t>
        </is>
      </c>
      <c r="J413" s="11" t="inlineStr">
        <is>
          <t>-</t>
        </is>
      </c>
      <c r="K413" s="11" t="n"/>
    </row>
    <row r="414">
      <c r="A414" s="11" t="inlineStr">
        <is>
          <t>UPS-LOAD</t>
        </is>
      </c>
      <c r="B414" s="11" t="inlineStr">
        <is>
          <t>UPS</t>
        </is>
      </c>
      <c r="C414" s="11" t="inlineStr">
        <is>
          <t>Output load</t>
        </is>
      </c>
      <c r="D414" s="11" t="inlineStr">
        <is>
          <t>Read</t>
        </is>
      </c>
      <c r="E414" s="11" t="inlineStr">
        <is>
          <t>Measured</t>
        </is>
      </c>
      <c r="F414" s="11" t="inlineStr">
        <is>
          <t>%</t>
        </is>
      </c>
      <c r="G414" s="11" t="inlineStr">
        <is>
          <t>Modbus TCP or SNMP</t>
        </is>
      </c>
      <c r="H414" s="11" t="inlineStr">
        <is>
          <t>-</t>
        </is>
      </c>
      <c r="I414" s="11" t="inlineStr">
        <is>
          <t>-</t>
        </is>
      </c>
      <c r="J414" s="11" t="inlineStr">
        <is>
          <t>-</t>
        </is>
      </c>
      <c r="K414" s="11" t="n"/>
    </row>
    <row r="415">
      <c r="A415" s="11" t="inlineStr">
        <is>
          <t>UPS-BATT-CHG</t>
        </is>
      </c>
      <c r="B415" s="11" t="inlineStr">
        <is>
          <t>UPS</t>
        </is>
      </c>
      <c r="C415" s="11" t="inlineStr">
        <is>
          <t>Battery charge</t>
        </is>
      </c>
      <c r="D415" s="11" t="inlineStr">
        <is>
          <t>Read</t>
        </is>
      </c>
      <c r="E415" s="11" t="inlineStr">
        <is>
          <t>Measured</t>
        </is>
      </c>
      <c r="F415" s="11" t="inlineStr">
        <is>
          <t>%</t>
        </is>
      </c>
      <c r="G415" s="11" t="inlineStr">
        <is>
          <t>Modbus TCP or SNMP</t>
        </is>
      </c>
      <c r="H415" s="11" t="inlineStr">
        <is>
          <t>-</t>
        </is>
      </c>
      <c r="I415" s="11" t="inlineStr">
        <is>
          <t>-</t>
        </is>
      </c>
      <c r="J415" s="11" t="inlineStr">
        <is>
          <t>-</t>
        </is>
      </c>
      <c r="K415" s="11" t="n"/>
    </row>
    <row r="416">
      <c r="A416" s="11" t="inlineStr">
        <is>
          <t>UPS-RUNTIME</t>
        </is>
      </c>
      <c r="B416" s="11" t="inlineStr">
        <is>
          <t>UPS</t>
        </is>
      </c>
      <c r="C416" s="11" t="inlineStr">
        <is>
          <t>Runtime remaining</t>
        </is>
      </c>
      <c r="D416" s="11" t="inlineStr">
        <is>
          <t>Read</t>
        </is>
      </c>
      <c r="E416" s="11" t="inlineStr">
        <is>
          <t>Measured</t>
        </is>
      </c>
      <c r="F416" s="11" t="inlineStr">
        <is>
          <t>min</t>
        </is>
      </c>
      <c r="G416" s="11" t="inlineStr">
        <is>
          <t>Modbus TCP or SNMP</t>
        </is>
      </c>
      <c r="H416" s="11" t="inlineStr">
        <is>
          <t>-</t>
        </is>
      </c>
      <c r="I416" s="11" t="inlineStr">
        <is>
          <t>-</t>
        </is>
      </c>
      <c r="J416" s="11" t="inlineStr">
        <is>
          <t>-</t>
        </is>
      </c>
      <c r="K416" s="11" t="n"/>
    </row>
    <row r="417">
      <c r="A417" s="11" t="inlineStr">
        <is>
          <t>UPS-ON-BATT-COM</t>
        </is>
      </c>
      <c r="B417" s="11" t="inlineStr">
        <is>
          <t>UPS</t>
        </is>
      </c>
      <c r="C417" s="11" t="inlineStr">
        <is>
          <t>On battery</t>
        </is>
      </c>
      <c r="D417" s="11" t="inlineStr">
        <is>
          <t>Read</t>
        </is>
      </c>
      <c r="E417" s="11" t="inlineStr">
        <is>
          <t>Status</t>
        </is>
      </c>
      <c r="F417" s="11" t="inlineStr">
        <is>
          <t>-</t>
        </is>
      </c>
      <c r="G417" s="11" t="inlineStr">
        <is>
          <t>Modbus TCP or SNMP</t>
        </is>
      </c>
      <c r="H417" s="11" t="inlineStr">
        <is>
          <t>2</t>
        </is>
      </c>
      <c r="I417" s="11" t="inlineStr">
        <is>
          <t>On</t>
        </is>
      </c>
      <c r="J417" s="11" t="inlineStr">
        <is>
          <t>-</t>
        </is>
      </c>
      <c r="K417" s="11" t="inlineStr">
        <is>
          <t>Communicated copy of hardwired signal UPS-ON-BATT</t>
        </is>
      </c>
    </row>
    <row r="418">
      <c r="A418" s="11" t="inlineStr">
        <is>
          <t>UPS-FLT-COM</t>
        </is>
      </c>
      <c r="B418" s="11" t="inlineStr">
        <is>
          <t>UPS</t>
        </is>
      </c>
      <c r="C418" s="11" t="inlineStr">
        <is>
          <t>Fault</t>
        </is>
      </c>
      <c r="D418" s="11" t="inlineStr">
        <is>
          <t>Read</t>
        </is>
      </c>
      <c r="E418" s="11" t="inlineStr">
        <is>
          <t>Status</t>
        </is>
      </c>
      <c r="F418" s="11" t="inlineStr">
        <is>
          <t>-</t>
        </is>
      </c>
      <c r="G418" s="11" t="inlineStr">
        <is>
          <t>Modbus TCP or SNMP</t>
        </is>
      </c>
      <c r="H418" s="11" t="inlineStr">
        <is>
          <t>2</t>
        </is>
      </c>
      <c r="I418" s="11" t="inlineStr">
        <is>
          <t>On</t>
        </is>
      </c>
      <c r="J418" s="11" t="inlineStr">
        <is>
          <t>-</t>
        </is>
      </c>
      <c r="K418" s="11" t="inlineStr">
        <is>
          <t>Communicated copy of hardwired signal UPS-FLT</t>
        </is>
      </c>
    </row>
    <row r="419">
      <c r="A419" s="11" t="inlineStr">
        <is>
          <t>SW-CORE-A-HEALTHY</t>
        </is>
      </c>
      <c r="B419" s="11" t="inlineStr">
        <is>
          <t>Network switches (core and field)</t>
        </is>
      </c>
      <c r="C419" s="11" t="inlineStr">
        <is>
          <t>Device healthy</t>
        </is>
      </c>
      <c r="D419" s="11" t="inlineStr">
        <is>
          <t>Read</t>
        </is>
      </c>
      <c r="E419" s="11" t="inlineStr">
        <is>
          <t>Status</t>
        </is>
      </c>
      <c r="F419" s="11" t="inlineStr">
        <is>
          <t>-</t>
        </is>
      </c>
      <c r="G419" s="11" t="inlineStr">
        <is>
          <t>SNMP v3</t>
        </is>
      </c>
      <c r="H419" s="11" t="inlineStr">
        <is>
          <t>2</t>
        </is>
      </c>
      <c r="I419" s="11" t="inlineStr">
        <is>
          <t>Off</t>
        </is>
      </c>
      <c r="J419" s="11" t="inlineStr">
        <is>
          <t>-</t>
        </is>
      </c>
      <c r="K419" s="11" t="n"/>
    </row>
    <row r="420">
      <c r="A420" s="11" t="inlineStr">
        <is>
          <t>SW-CORE-A-RING-OK</t>
        </is>
      </c>
      <c r="B420" s="11" t="inlineStr">
        <is>
          <t>Network switches (core and field)</t>
        </is>
      </c>
      <c r="C420" s="11" t="inlineStr">
        <is>
          <t>Ring status</t>
        </is>
      </c>
      <c r="D420" s="11" t="inlineStr">
        <is>
          <t>Read</t>
        </is>
      </c>
      <c r="E420" s="11" t="inlineStr">
        <is>
          <t>Status</t>
        </is>
      </c>
      <c r="F420" s="11" t="inlineStr">
        <is>
          <t>-</t>
        </is>
      </c>
      <c r="G420" s="11" t="inlineStr">
        <is>
          <t>SNMP v3</t>
        </is>
      </c>
      <c r="H420" s="11" t="inlineStr">
        <is>
          <t>2</t>
        </is>
      </c>
      <c r="I420" s="11" t="inlineStr">
        <is>
          <t>Off</t>
        </is>
      </c>
      <c r="J420" s="11" t="inlineStr">
        <is>
          <t>-</t>
        </is>
      </c>
      <c r="K420" s="11" t="n"/>
    </row>
    <row r="421">
      <c r="A421" s="11" t="inlineStr">
        <is>
          <t>SW-CORE-B-HEALTHY</t>
        </is>
      </c>
      <c r="B421" s="11" t="inlineStr">
        <is>
          <t>Network switches (core and field)</t>
        </is>
      </c>
      <c r="C421" s="11" t="inlineStr">
        <is>
          <t>Device healthy</t>
        </is>
      </c>
      <c r="D421" s="11" t="inlineStr">
        <is>
          <t>Read</t>
        </is>
      </c>
      <c r="E421" s="11" t="inlineStr">
        <is>
          <t>Status</t>
        </is>
      </c>
      <c r="F421" s="11" t="inlineStr">
        <is>
          <t>-</t>
        </is>
      </c>
      <c r="G421" s="11" t="inlineStr">
        <is>
          <t>SNMP v3</t>
        </is>
      </c>
      <c r="H421" s="11" t="inlineStr">
        <is>
          <t>2</t>
        </is>
      </c>
      <c r="I421" s="11" t="inlineStr">
        <is>
          <t>Off</t>
        </is>
      </c>
      <c r="J421" s="11" t="inlineStr">
        <is>
          <t>-</t>
        </is>
      </c>
      <c r="K421" s="11" t="n"/>
    </row>
    <row r="422">
      <c r="A422" s="11" t="inlineStr">
        <is>
          <t>SW-CORE-B-RING-OK</t>
        </is>
      </c>
      <c r="B422" s="11" t="inlineStr">
        <is>
          <t>Network switches (core and field)</t>
        </is>
      </c>
      <c r="C422" s="11" t="inlineStr">
        <is>
          <t>Ring status</t>
        </is>
      </c>
      <c r="D422" s="11" t="inlineStr">
        <is>
          <t>Read</t>
        </is>
      </c>
      <c r="E422" s="11" t="inlineStr">
        <is>
          <t>Status</t>
        </is>
      </c>
      <c r="F422" s="11" t="inlineStr">
        <is>
          <t>-</t>
        </is>
      </c>
      <c r="G422" s="11" t="inlineStr">
        <is>
          <t>SNMP v3</t>
        </is>
      </c>
      <c r="H422" s="11" t="inlineStr">
        <is>
          <t>2</t>
        </is>
      </c>
      <c r="I422" s="11" t="inlineStr">
        <is>
          <t>Off</t>
        </is>
      </c>
      <c r="J422" s="11" t="inlineStr">
        <is>
          <t>-</t>
        </is>
      </c>
      <c r="K422" s="11" t="n"/>
    </row>
    <row r="423">
      <c r="A423" s="11" t="inlineStr">
        <is>
          <t>SW-MV-HEALTHY</t>
        </is>
      </c>
      <c r="B423" s="11" t="inlineStr">
        <is>
          <t>Network switches (core and field)</t>
        </is>
      </c>
      <c r="C423" s="11" t="inlineStr">
        <is>
          <t>Device healthy</t>
        </is>
      </c>
      <c r="D423" s="11" t="inlineStr">
        <is>
          <t>Read</t>
        </is>
      </c>
      <c r="E423" s="11" t="inlineStr">
        <is>
          <t>Status</t>
        </is>
      </c>
      <c r="F423" s="11" t="inlineStr">
        <is>
          <t>-</t>
        </is>
      </c>
      <c r="G423" s="11" t="inlineStr">
        <is>
          <t>SNMP v3</t>
        </is>
      </c>
      <c r="H423" s="11" t="inlineStr">
        <is>
          <t>2</t>
        </is>
      </c>
      <c r="I423" s="11" t="inlineStr">
        <is>
          <t>Off</t>
        </is>
      </c>
      <c r="J423" s="11" t="inlineStr">
        <is>
          <t>-</t>
        </is>
      </c>
      <c r="K423" s="11" t="n"/>
    </row>
    <row r="424">
      <c r="A424" s="11" t="inlineStr">
        <is>
          <t>SW-MV-RING-OK</t>
        </is>
      </c>
      <c r="B424" s="11" t="inlineStr">
        <is>
          <t>Network switches (core and field)</t>
        </is>
      </c>
      <c r="C424" s="11" t="inlineStr">
        <is>
          <t>Ring status</t>
        </is>
      </c>
      <c r="D424" s="11" t="inlineStr">
        <is>
          <t>Read</t>
        </is>
      </c>
      <c r="E424" s="11" t="inlineStr">
        <is>
          <t>Status</t>
        </is>
      </c>
      <c r="F424" s="11" t="inlineStr">
        <is>
          <t>-</t>
        </is>
      </c>
      <c r="G424" s="11" t="inlineStr">
        <is>
          <t>SNMP v3</t>
        </is>
      </c>
      <c r="H424" s="11" t="inlineStr">
        <is>
          <t>2</t>
        </is>
      </c>
      <c r="I424" s="11" t="inlineStr">
        <is>
          <t>Off</t>
        </is>
      </c>
      <c r="J424" s="11" t="inlineStr">
        <is>
          <t>-</t>
        </is>
      </c>
      <c r="K424" s="11" t="n"/>
    </row>
    <row r="425">
      <c r="A425" s="11" t="inlineStr">
        <is>
          <t>SW-BESS-HEALTHY</t>
        </is>
      </c>
      <c r="B425" s="11" t="inlineStr">
        <is>
          <t>Network switches (core and field)</t>
        </is>
      </c>
      <c r="C425" s="11" t="inlineStr">
        <is>
          <t>Device healthy</t>
        </is>
      </c>
      <c r="D425" s="11" t="inlineStr">
        <is>
          <t>Read</t>
        </is>
      </c>
      <c r="E425" s="11" t="inlineStr">
        <is>
          <t>Status</t>
        </is>
      </c>
      <c r="F425" s="11" t="inlineStr">
        <is>
          <t>-</t>
        </is>
      </c>
      <c r="G425" s="11" t="inlineStr">
        <is>
          <t>SNMP v3</t>
        </is>
      </c>
      <c r="H425" s="11" t="inlineStr">
        <is>
          <t>2</t>
        </is>
      </c>
      <c r="I425" s="11" t="inlineStr">
        <is>
          <t>Off</t>
        </is>
      </c>
      <c r="J425" s="11" t="inlineStr">
        <is>
          <t>-</t>
        </is>
      </c>
      <c r="K425" s="11" t="n"/>
    </row>
    <row r="426">
      <c r="A426" s="11" t="inlineStr">
        <is>
          <t>SW-BESS-RING-OK</t>
        </is>
      </c>
      <c r="B426" s="11" t="inlineStr">
        <is>
          <t>Network switches (core and field)</t>
        </is>
      </c>
      <c r="C426" s="11" t="inlineStr">
        <is>
          <t>Ring status</t>
        </is>
      </c>
      <c r="D426" s="11" t="inlineStr">
        <is>
          <t>Read</t>
        </is>
      </c>
      <c r="E426" s="11" t="inlineStr">
        <is>
          <t>Status</t>
        </is>
      </c>
      <c r="F426" s="11" t="inlineStr">
        <is>
          <t>-</t>
        </is>
      </c>
      <c r="G426" s="11" t="inlineStr">
        <is>
          <t>SNMP v3</t>
        </is>
      </c>
      <c r="H426" s="11" t="inlineStr">
        <is>
          <t>2</t>
        </is>
      </c>
      <c r="I426" s="11" t="inlineStr">
        <is>
          <t>Off</t>
        </is>
      </c>
      <c r="J426" s="11" t="inlineStr">
        <is>
          <t>-</t>
        </is>
      </c>
      <c r="K426" s="11" t="n"/>
    </row>
    <row r="427">
      <c r="A427" s="11" t="inlineStr">
        <is>
          <t>SW-GEN-HEALTHY</t>
        </is>
      </c>
      <c r="B427" s="11" t="inlineStr">
        <is>
          <t>Network switches (core and field)</t>
        </is>
      </c>
      <c r="C427" s="11" t="inlineStr">
        <is>
          <t>Device healthy</t>
        </is>
      </c>
      <c r="D427" s="11" t="inlineStr">
        <is>
          <t>Read</t>
        </is>
      </c>
      <c r="E427" s="11" t="inlineStr">
        <is>
          <t>Status</t>
        </is>
      </c>
      <c r="F427" s="11" t="inlineStr">
        <is>
          <t>-</t>
        </is>
      </c>
      <c r="G427" s="11" t="inlineStr">
        <is>
          <t>SNMP v3</t>
        </is>
      </c>
      <c r="H427" s="11" t="inlineStr">
        <is>
          <t>2</t>
        </is>
      </c>
      <c r="I427" s="11" t="inlineStr">
        <is>
          <t>Off</t>
        </is>
      </c>
      <c r="J427" s="11" t="inlineStr">
        <is>
          <t>-</t>
        </is>
      </c>
      <c r="K427" s="11" t="n"/>
    </row>
    <row r="428">
      <c r="A428" s="11" t="inlineStr">
        <is>
          <t>SW-GEN-RING-OK</t>
        </is>
      </c>
      <c r="B428" s="11" t="inlineStr">
        <is>
          <t>Network switches (core and field)</t>
        </is>
      </c>
      <c r="C428" s="11" t="inlineStr">
        <is>
          <t>Ring status</t>
        </is>
      </c>
      <c r="D428" s="11" t="inlineStr">
        <is>
          <t>Read</t>
        </is>
      </c>
      <c r="E428" s="11" t="inlineStr">
        <is>
          <t>Status</t>
        </is>
      </c>
      <c r="F428" s="11" t="inlineStr">
        <is>
          <t>-</t>
        </is>
      </c>
      <c r="G428" s="11" t="inlineStr">
        <is>
          <t>SNMP v3</t>
        </is>
      </c>
      <c r="H428" s="11" t="inlineStr">
        <is>
          <t>2</t>
        </is>
      </c>
      <c r="I428" s="11" t="inlineStr">
        <is>
          <t>Off</t>
        </is>
      </c>
      <c r="J428" s="11" t="inlineStr">
        <is>
          <t>-</t>
        </is>
      </c>
      <c r="K428" s="11" t="n"/>
    </row>
    <row r="429">
      <c r="A429" s="11" t="inlineStr">
        <is>
          <t>SW-PRS-HEALTHY</t>
        </is>
      </c>
      <c r="B429" s="11" t="inlineStr">
        <is>
          <t>Network switches (core and field)</t>
        </is>
      </c>
      <c r="C429" s="11" t="inlineStr">
        <is>
          <t>Device healthy</t>
        </is>
      </c>
      <c r="D429" s="11" t="inlineStr">
        <is>
          <t>Read</t>
        </is>
      </c>
      <c r="E429" s="11" t="inlineStr">
        <is>
          <t>Status</t>
        </is>
      </c>
      <c r="F429" s="11" t="inlineStr">
        <is>
          <t>-</t>
        </is>
      </c>
      <c r="G429" s="11" t="inlineStr">
        <is>
          <t>SNMP v3</t>
        </is>
      </c>
      <c r="H429" s="11" t="inlineStr">
        <is>
          <t>2</t>
        </is>
      </c>
      <c r="I429" s="11" t="inlineStr">
        <is>
          <t>Off</t>
        </is>
      </c>
      <c r="J429" s="11" t="inlineStr">
        <is>
          <t>-</t>
        </is>
      </c>
      <c r="K429" s="11" t="n"/>
    </row>
    <row r="430">
      <c r="A430" s="11" t="inlineStr">
        <is>
          <t>SW-PRS-RING-OK</t>
        </is>
      </c>
      <c r="B430" s="11" t="inlineStr">
        <is>
          <t>Network switches (core and field)</t>
        </is>
      </c>
      <c r="C430" s="11" t="inlineStr">
        <is>
          <t>Ring status</t>
        </is>
      </c>
      <c r="D430" s="11" t="inlineStr">
        <is>
          <t>Read</t>
        </is>
      </c>
      <c r="E430" s="11" t="inlineStr">
        <is>
          <t>Status</t>
        </is>
      </c>
      <c r="F430" s="11" t="inlineStr">
        <is>
          <t>-</t>
        </is>
      </c>
      <c r="G430" s="11" t="inlineStr">
        <is>
          <t>SNMP v3</t>
        </is>
      </c>
      <c r="H430" s="11" t="inlineStr">
        <is>
          <t>2</t>
        </is>
      </c>
      <c r="I430" s="11" t="inlineStr">
        <is>
          <t>Off</t>
        </is>
      </c>
      <c r="J430" s="11" t="inlineStr">
        <is>
          <t>-</t>
        </is>
      </c>
      <c r="K430" s="11" t="n"/>
    </row>
    <row r="431">
      <c r="A431" s="11" t="inlineStr">
        <is>
          <t>SW-PMS-HEALTHY</t>
        </is>
      </c>
      <c r="B431" s="11" t="inlineStr">
        <is>
          <t>Network switches (core and field)</t>
        </is>
      </c>
      <c r="C431" s="11" t="inlineStr">
        <is>
          <t>Device healthy</t>
        </is>
      </c>
      <c r="D431" s="11" t="inlineStr">
        <is>
          <t>Read</t>
        </is>
      </c>
      <c r="E431" s="11" t="inlineStr">
        <is>
          <t>Status</t>
        </is>
      </c>
      <c r="F431" s="11" t="inlineStr">
        <is>
          <t>-</t>
        </is>
      </c>
      <c r="G431" s="11" t="inlineStr">
        <is>
          <t>SNMP v3</t>
        </is>
      </c>
      <c r="H431" s="11" t="inlineStr">
        <is>
          <t>2</t>
        </is>
      </c>
      <c r="I431" s="11" t="inlineStr">
        <is>
          <t>Off</t>
        </is>
      </c>
      <c r="J431" s="11" t="inlineStr">
        <is>
          <t>-</t>
        </is>
      </c>
      <c r="K431" s="11" t="n"/>
    </row>
    <row r="432">
      <c r="A432" s="11" t="inlineStr">
        <is>
          <t>SW-PMS-RING-OK</t>
        </is>
      </c>
      <c r="B432" s="11" t="inlineStr">
        <is>
          <t>Network switches (core and field)</t>
        </is>
      </c>
      <c r="C432" s="11" t="inlineStr">
        <is>
          <t>Ring status</t>
        </is>
      </c>
      <c r="D432" s="11" t="inlineStr">
        <is>
          <t>Read</t>
        </is>
      </c>
      <c r="E432" s="11" t="inlineStr">
        <is>
          <t>Status</t>
        </is>
      </c>
      <c r="F432" s="11" t="inlineStr">
        <is>
          <t>-</t>
        </is>
      </c>
      <c r="G432" s="11" t="inlineStr">
        <is>
          <t>SNMP v3</t>
        </is>
      </c>
      <c r="H432" s="11" t="inlineStr">
        <is>
          <t>2</t>
        </is>
      </c>
      <c r="I432" s="11" t="inlineStr">
        <is>
          <t>Off</t>
        </is>
      </c>
      <c r="J432" s="11" t="inlineStr">
        <is>
          <t>-</t>
        </is>
      </c>
      <c r="K432" s="11" t="n"/>
    </row>
    <row r="433">
      <c r="A433" s="11" t="inlineStr">
        <is>
          <t>FW-HEALTHY</t>
        </is>
      </c>
      <c r="B433" s="11" t="inlineStr">
        <is>
          <t>Firewall and GPS time server</t>
        </is>
      </c>
      <c r="C433" s="11" t="inlineStr">
        <is>
          <t>Device healthy</t>
        </is>
      </c>
      <c r="D433" s="11" t="inlineStr">
        <is>
          <t>Read</t>
        </is>
      </c>
      <c r="E433" s="11" t="inlineStr">
        <is>
          <t>Status</t>
        </is>
      </c>
      <c r="F433" s="11" t="inlineStr">
        <is>
          <t>-</t>
        </is>
      </c>
      <c r="G433" s="11" t="inlineStr">
        <is>
          <t>SNMP v3</t>
        </is>
      </c>
      <c r="H433" s="11" t="inlineStr">
        <is>
          <t>2</t>
        </is>
      </c>
      <c r="I433" s="11" t="inlineStr">
        <is>
          <t>Off</t>
        </is>
      </c>
      <c r="J433" s="11" t="inlineStr">
        <is>
          <t>-</t>
        </is>
      </c>
      <c r="K433" s="11" t="n"/>
    </row>
    <row r="434">
      <c r="A434" s="11" t="inlineStr">
        <is>
          <t>FW-VPN-ACTIVE</t>
        </is>
      </c>
      <c r="B434" s="11" t="inlineStr">
        <is>
          <t>Firewall and GPS time server</t>
        </is>
      </c>
      <c r="C434" s="11" t="inlineStr">
        <is>
          <t>Time synchronised / VPN session active</t>
        </is>
      </c>
      <c r="D434" s="11" t="inlineStr">
        <is>
          <t>Read</t>
        </is>
      </c>
      <c r="E434" s="11" t="inlineStr">
        <is>
          <t>Status</t>
        </is>
      </c>
      <c r="F434" s="11" t="inlineStr">
        <is>
          <t>-</t>
        </is>
      </c>
      <c r="G434" s="11" t="inlineStr">
        <is>
          <t>SNMP v3</t>
        </is>
      </c>
      <c r="H434" s="11" t="inlineStr">
        <is>
          <t>3</t>
        </is>
      </c>
      <c r="I434" s="11" t="inlineStr">
        <is>
          <t>On</t>
        </is>
      </c>
      <c r="J434" s="11" t="inlineStr">
        <is>
          <t>-</t>
        </is>
      </c>
      <c r="K434" s="11" t="n"/>
    </row>
    <row r="435">
      <c r="A435" s="11" t="inlineStr">
        <is>
          <t>GPS-HEALTHY</t>
        </is>
      </c>
      <c r="B435" s="11" t="inlineStr">
        <is>
          <t>Firewall and GPS time server</t>
        </is>
      </c>
      <c r="C435" s="11" t="inlineStr">
        <is>
          <t>Device healthy</t>
        </is>
      </c>
      <c r="D435" s="11" t="inlineStr">
        <is>
          <t>Read</t>
        </is>
      </c>
      <c r="E435" s="11" t="inlineStr">
        <is>
          <t>Status</t>
        </is>
      </c>
      <c r="F435" s="11" t="inlineStr">
        <is>
          <t>-</t>
        </is>
      </c>
      <c r="G435" s="11" t="inlineStr">
        <is>
          <t>SNMP v3</t>
        </is>
      </c>
      <c r="H435" s="11" t="inlineStr">
        <is>
          <t>2</t>
        </is>
      </c>
      <c r="I435" s="11" t="inlineStr">
        <is>
          <t>Off</t>
        </is>
      </c>
      <c r="J435" s="11" t="inlineStr">
        <is>
          <t>-</t>
        </is>
      </c>
      <c r="K435" s="11" t="n"/>
    </row>
    <row r="436">
      <c r="A436" s="11" t="inlineStr">
        <is>
          <t>GPS-TIME-SYNC</t>
        </is>
      </c>
      <c r="B436" s="11" t="inlineStr">
        <is>
          <t>Firewall and GPS time server</t>
        </is>
      </c>
      <c r="C436" s="11" t="inlineStr">
        <is>
          <t>Time synchronised / VPN session active</t>
        </is>
      </c>
      <c r="D436" s="11" t="inlineStr">
        <is>
          <t>Read</t>
        </is>
      </c>
      <c r="E436" s="11" t="inlineStr">
        <is>
          <t>Status</t>
        </is>
      </c>
      <c r="F436" s="11" t="inlineStr">
        <is>
          <t>-</t>
        </is>
      </c>
      <c r="G436" s="11" t="inlineStr">
        <is>
          <t>SNMP v3</t>
        </is>
      </c>
      <c r="H436" s="11" t="inlineStr">
        <is>
          <t>3</t>
        </is>
      </c>
      <c r="I436" s="11" t="inlineStr">
        <is>
          <t>Off</t>
        </is>
      </c>
      <c r="J436" s="11" t="inlineStr">
        <is>
          <t>-</t>
        </is>
      </c>
      <c r="K436" s="11" t="n"/>
    </row>
    <row r="437">
      <c r="A437" s="11" t="inlineStr">
        <is>
          <t>PLCBOX-NB01-COMM</t>
        </is>
      </c>
      <c r="B437" s="11" t="inlineStr">
        <is>
          <t>PLC box</t>
        </is>
      </c>
      <c r="C437" s="11" t="inlineStr">
        <is>
          <t>Communication healthy per inverter (4 points)</t>
        </is>
      </c>
      <c r="D437" s="11" t="inlineStr">
        <is>
          <t>Read</t>
        </is>
      </c>
      <c r="E437" s="11" t="inlineStr">
        <is>
          <t>Status</t>
        </is>
      </c>
      <c r="F437" s="11" t="inlineStr">
        <is>
          <t>-</t>
        </is>
      </c>
      <c r="G437" s="11" t="inlineStr">
        <is>
          <t>Modbus TCP</t>
        </is>
      </c>
      <c r="H437" s="11" t="inlineStr">
        <is>
          <t>Status</t>
        </is>
      </c>
      <c r="I437" s="11" t="inlineStr">
        <is>
          <t>-</t>
        </is>
      </c>
      <c r="J437" s="11" t="inlineStr">
        <is>
          <t>-</t>
        </is>
      </c>
      <c r="K437" s="11" t="n"/>
    </row>
    <row r="438">
      <c r="A438" s="11" t="inlineStr">
        <is>
          <t>PLCBOX-NB02-COMM</t>
        </is>
      </c>
      <c r="B438" s="11" t="inlineStr">
        <is>
          <t>PLC box</t>
        </is>
      </c>
      <c r="C438" s="11" t="inlineStr">
        <is>
          <t>Communication healthy per inverter (4 points)</t>
        </is>
      </c>
      <c r="D438" s="11" t="inlineStr">
        <is>
          <t>Read</t>
        </is>
      </c>
      <c r="E438" s="11" t="inlineStr">
        <is>
          <t>Status</t>
        </is>
      </c>
      <c r="F438" s="11" t="inlineStr">
        <is>
          <t>-</t>
        </is>
      </c>
      <c r="G438" s="11" t="inlineStr">
        <is>
          <t>Modbus TCP</t>
        </is>
      </c>
      <c r="H438" s="11" t="inlineStr">
        <is>
          <t>Status</t>
        </is>
      </c>
      <c r="I438" s="11" t="inlineStr">
        <is>
          <t>-</t>
        </is>
      </c>
      <c r="J438" s="11" t="inlineStr">
        <is>
          <t>-</t>
        </is>
      </c>
      <c r="K438" s="11" t="n"/>
    </row>
    <row r="439">
      <c r="A439" s="11" t="inlineStr">
        <is>
          <t>PLCBOX-NB03-COMM</t>
        </is>
      </c>
      <c r="B439" s="11" t="inlineStr">
        <is>
          <t>PLC box</t>
        </is>
      </c>
      <c r="C439" s="11" t="inlineStr">
        <is>
          <t>Communication healthy per inverter (4 points)</t>
        </is>
      </c>
      <c r="D439" s="11" t="inlineStr">
        <is>
          <t>Read</t>
        </is>
      </c>
      <c r="E439" s="11" t="inlineStr">
        <is>
          <t>Status</t>
        </is>
      </c>
      <c r="F439" s="11" t="inlineStr">
        <is>
          <t>-</t>
        </is>
      </c>
      <c r="G439" s="11" t="inlineStr">
        <is>
          <t>Modbus TCP</t>
        </is>
      </c>
      <c r="H439" s="11" t="inlineStr">
        <is>
          <t>Status</t>
        </is>
      </c>
      <c r="I439" s="11" t="inlineStr">
        <is>
          <t>-</t>
        </is>
      </c>
      <c r="J439" s="11" t="inlineStr">
        <is>
          <t>-</t>
        </is>
      </c>
      <c r="K439" s="11" t="n"/>
    </row>
    <row r="440">
      <c r="A440" s="11" t="inlineStr">
        <is>
          <t>PLCBOX-NB04-COMM</t>
        </is>
      </c>
      <c r="B440" s="11" t="inlineStr">
        <is>
          <t>PLC box</t>
        </is>
      </c>
      <c r="C440" s="11" t="inlineStr">
        <is>
          <t>Communication healthy per inverter (4 points)</t>
        </is>
      </c>
      <c r="D440" s="11" t="inlineStr">
        <is>
          <t>Read</t>
        </is>
      </c>
      <c r="E440" s="11" t="inlineStr">
        <is>
          <t>Status</t>
        </is>
      </c>
      <c r="F440" s="11" t="inlineStr">
        <is>
          <t>-</t>
        </is>
      </c>
      <c r="G440" s="11" t="inlineStr">
        <is>
          <t>Modbus TCP</t>
        </is>
      </c>
      <c r="H440" s="11" t="inlineStr">
        <is>
          <t>Status</t>
        </is>
      </c>
      <c r="I440" s="11" t="inlineStr">
        <is>
          <t>-</t>
        </is>
      </c>
      <c r="J440" s="11" t="inlineStr">
        <is>
          <t>-</t>
        </is>
      </c>
      <c r="K440" s="11" t="n"/>
    </row>
    <row r="441">
      <c r="A441" s="11" t="inlineStr">
        <is>
          <t>CP-HEALTHY</t>
        </is>
      </c>
      <c r="B441" s="11" t="inlineStr">
        <is>
          <t>SICAM CP-8050 internal</t>
        </is>
      </c>
      <c r="C441" s="11" t="inlineStr">
        <is>
          <t>Controller healthy</t>
        </is>
      </c>
      <c r="D441" s="11" t="inlineStr">
        <is>
          <t>Read</t>
        </is>
      </c>
      <c r="E441" s="11" t="inlineStr">
        <is>
          <t>Status</t>
        </is>
      </c>
      <c r="F441" s="11" t="inlineStr">
        <is>
          <t>-</t>
        </is>
      </c>
      <c r="G441" s="11" t="inlineStr">
        <is>
          <t>Internal</t>
        </is>
      </c>
      <c r="H441" s="11" t="inlineStr">
        <is>
          <t>2</t>
        </is>
      </c>
      <c r="I441" s="11" t="inlineStr">
        <is>
          <t>Off</t>
        </is>
      </c>
      <c r="J441" s="11" t="inlineStr">
        <is>
          <t>-</t>
        </is>
      </c>
      <c r="K441" s="11" t="n"/>
    </row>
    <row r="442">
      <c r="A442" s="11" t="inlineStr">
        <is>
          <t>CP-PS1-OK</t>
        </is>
      </c>
      <c r="B442" s="11" t="inlineStr">
        <is>
          <t>SICAM CP-8050 internal</t>
        </is>
      </c>
      <c r="C442" s="11" t="inlineStr">
        <is>
          <t>Power supply 1 healthy</t>
        </is>
      </c>
      <c r="D442" s="11" t="inlineStr">
        <is>
          <t>Read</t>
        </is>
      </c>
      <c r="E442" s="11" t="inlineStr">
        <is>
          <t>Status</t>
        </is>
      </c>
      <c r="F442" s="11" t="inlineStr">
        <is>
          <t>-</t>
        </is>
      </c>
      <c r="G442" s="11" t="inlineStr">
        <is>
          <t>Internal</t>
        </is>
      </c>
      <c r="H442" s="11" t="inlineStr">
        <is>
          <t>2</t>
        </is>
      </c>
      <c r="I442" s="11" t="inlineStr">
        <is>
          <t>Off</t>
        </is>
      </c>
      <c r="J442" s="11" t="inlineStr">
        <is>
          <t>-</t>
        </is>
      </c>
      <c r="K442" s="11" t="n"/>
    </row>
    <row r="443">
      <c r="A443" s="11" t="inlineStr">
        <is>
          <t>CP-PS2-OK</t>
        </is>
      </c>
      <c r="B443" s="11" t="inlineStr">
        <is>
          <t>SICAM CP-8050 internal</t>
        </is>
      </c>
      <c r="C443" s="11" t="inlineStr">
        <is>
          <t>Power supply 2 healthy</t>
        </is>
      </c>
      <c r="D443" s="11" t="inlineStr">
        <is>
          <t>Read</t>
        </is>
      </c>
      <c r="E443" s="11" t="inlineStr">
        <is>
          <t>Status</t>
        </is>
      </c>
      <c r="F443" s="11" t="inlineStr">
        <is>
          <t>-</t>
        </is>
      </c>
      <c r="G443" s="11" t="inlineStr">
        <is>
          <t>Internal</t>
        </is>
      </c>
      <c r="H443" s="11" t="inlineStr">
        <is>
          <t>2</t>
        </is>
      </c>
      <c r="I443" s="11" t="inlineStr">
        <is>
          <t>Off</t>
        </is>
      </c>
      <c r="J443" s="11" t="inlineStr">
        <is>
          <t>-</t>
        </is>
      </c>
      <c r="K443" s="11" t="n"/>
    </row>
    <row r="444">
      <c r="A444" s="11" t="inlineStr">
        <is>
          <t>CP-ROW1-OK</t>
        </is>
      </c>
      <c r="B444" s="11" t="inlineStr">
        <is>
          <t>SICAM CP-8050 internal</t>
        </is>
      </c>
      <c r="C444" s="11" t="inlineStr">
        <is>
          <t>I/O row 1 healthy</t>
        </is>
      </c>
      <c r="D444" s="11" t="inlineStr">
        <is>
          <t>Read</t>
        </is>
      </c>
      <c r="E444" s="11" t="inlineStr">
        <is>
          <t>Status</t>
        </is>
      </c>
      <c r="F444" s="11" t="inlineStr">
        <is>
          <t>-</t>
        </is>
      </c>
      <c r="G444" s="11" t="inlineStr">
        <is>
          <t>Internal</t>
        </is>
      </c>
      <c r="H444" s="11" t="inlineStr">
        <is>
          <t>2</t>
        </is>
      </c>
      <c r="I444" s="11" t="inlineStr">
        <is>
          <t>Off</t>
        </is>
      </c>
      <c r="J444" s="11" t="inlineStr">
        <is>
          <t>-</t>
        </is>
      </c>
      <c r="K444" s="11" t="n"/>
    </row>
    <row r="445">
      <c r="A445" s="11" t="inlineStr">
        <is>
          <t>CP-ROW2-OK</t>
        </is>
      </c>
      <c r="B445" s="11" t="inlineStr">
        <is>
          <t>SICAM CP-8050 internal</t>
        </is>
      </c>
      <c r="C445" s="11" t="inlineStr">
        <is>
          <t>I/O row 2 link healthy</t>
        </is>
      </c>
      <c r="D445" s="11" t="inlineStr">
        <is>
          <t>Read</t>
        </is>
      </c>
      <c r="E445" s="11" t="inlineStr">
        <is>
          <t>Status</t>
        </is>
      </c>
      <c r="F445" s="11" t="inlineStr">
        <is>
          <t>-</t>
        </is>
      </c>
      <c r="G445" s="11" t="inlineStr">
        <is>
          <t>Internal</t>
        </is>
      </c>
      <c r="H445" s="11" t="inlineStr">
        <is>
          <t>2</t>
        </is>
      </c>
      <c r="I445" s="11" t="inlineStr">
        <is>
          <t>Off</t>
        </is>
      </c>
      <c r="J445" s="11" t="inlineStr">
        <is>
          <t>-</t>
        </is>
      </c>
      <c r="K445" s="11" t="n"/>
    </row>
    <row r="446">
      <c r="A446" s="11" t="inlineStr">
        <is>
          <t>CP-ROW3-OK</t>
        </is>
      </c>
      <c r="B446" s="11" t="inlineStr">
        <is>
          <t>SICAM CP-8050 internal</t>
        </is>
      </c>
      <c r="C446" s="11" t="inlineStr">
        <is>
          <t>I/O row 3 link healthy</t>
        </is>
      </c>
      <c r="D446" s="11" t="inlineStr">
        <is>
          <t>Read</t>
        </is>
      </c>
      <c r="E446" s="11" t="inlineStr">
        <is>
          <t>Status</t>
        </is>
      </c>
      <c r="F446" s="11" t="inlineStr">
        <is>
          <t>-</t>
        </is>
      </c>
      <c r="G446" s="11" t="inlineStr">
        <is>
          <t>Internal</t>
        </is>
      </c>
      <c r="H446" s="11" t="inlineStr">
        <is>
          <t>2</t>
        </is>
      </c>
      <c r="I446" s="11" t="inlineStr">
        <is>
          <t>Off</t>
        </is>
      </c>
      <c r="J446" s="11" t="inlineStr">
        <is>
          <t>-</t>
        </is>
      </c>
      <c r="K446" s="11" t="n"/>
    </row>
    <row r="447">
      <c r="A447" s="11" t="inlineStr">
        <is>
          <t>CP-ROW4-OK</t>
        </is>
      </c>
      <c r="B447" s="11" t="inlineStr">
        <is>
          <t>SICAM CP-8050 internal</t>
        </is>
      </c>
      <c r="C447" s="11" t="inlineStr">
        <is>
          <t>I/O row 4 link healthy</t>
        </is>
      </c>
      <c r="D447" s="11" t="inlineStr">
        <is>
          <t>Read</t>
        </is>
      </c>
      <c r="E447" s="11" t="inlineStr">
        <is>
          <t>Status</t>
        </is>
      </c>
      <c r="F447" s="11" t="inlineStr">
        <is>
          <t>-</t>
        </is>
      </c>
      <c r="G447" s="11" t="inlineStr">
        <is>
          <t>Internal</t>
        </is>
      </c>
      <c r="H447" s="11" t="inlineStr">
        <is>
          <t>2</t>
        </is>
      </c>
      <c r="I447" s="11" t="inlineStr">
        <is>
          <t>Off</t>
        </is>
      </c>
      <c r="J447" s="11" t="inlineStr">
        <is>
          <t>-</t>
        </is>
      </c>
      <c r="K447" s="11" t="n"/>
    </row>
    <row r="448">
      <c r="A448" s="11" t="inlineStr">
        <is>
          <t>CP-ROW5-OK</t>
        </is>
      </c>
      <c r="B448" s="11" t="inlineStr">
        <is>
          <t>SICAM CP-8050 internal</t>
        </is>
      </c>
      <c r="C448" s="11" t="inlineStr">
        <is>
          <t>I/O row 5 link healthy</t>
        </is>
      </c>
      <c r="D448" s="11" t="inlineStr">
        <is>
          <t>Read</t>
        </is>
      </c>
      <c r="E448" s="11" t="inlineStr">
        <is>
          <t>Status</t>
        </is>
      </c>
      <c r="F448" s="11" t="inlineStr">
        <is>
          <t>-</t>
        </is>
      </c>
      <c r="G448" s="11" t="inlineStr">
        <is>
          <t>Internal</t>
        </is>
      </c>
      <c r="H448" s="11" t="inlineStr">
        <is>
          <t>2</t>
        </is>
      </c>
      <c r="I448" s="11" t="inlineStr">
        <is>
          <t>Off</t>
        </is>
      </c>
      <c r="J448" s="11" t="inlineStr">
        <is>
          <t>-</t>
        </is>
      </c>
      <c r="K448" s="11" t="n"/>
    </row>
    <row r="449">
      <c r="A449" s="11" t="inlineStr">
        <is>
          <t>CP-ROW6-OK</t>
        </is>
      </c>
      <c r="B449" s="11" t="inlineStr">
        <is>
          <t>SICAM CP-8050 internal</t>
        </is>
      </c>
      <c r="C449" s="11" t="inlineStr">
        <is>
          <t>I/O row 6 link healthy</t>
        </is>
      </c>
      <c r="D449" s="11" t="inlineStr">
        <is>
          <t>Read</t>
        </is>
      </c>
      <c r="E449" s="11" t="inlineStr">
        <is>
          <t>Status</t>
        </is>
      </c>
      <c r="F449" s="11" t="inlineStr">
        <is>
          <t>-</t>
        </is>
      </c>
      <c r="G449" s="11" t="inlineStr">
        <is>
          <t>Internal</t>
        </is>
      </c>
      <c r="H449" s="11" t="inlineStr">
        <is>
          <t>2</t>
        </is>
      </c>
      <c r="I449" s="11" t="inlineStr">
        <is>
          <t>Off</t>
        </is>
      </c>
      <c r="J449" s="11" t="inlineStr">
        <is>
          <t>-</t>
        </is>
      </c>
      <c r="K449" s="11" t="n"/>
    </row>
    <row r="450">
      <c r="A450" s="11" t="inlineStr">
        <is>
          <t>CP-LINK1-OK</t>
        </is>
      </c>
      <c r="B450" s="11" t="inlineStr">
        <is>
          <t>SICAM CP-8050 internal</t>
        </is>
      </c>
      <c r="C450" s="11" t="inlineStr">
        <is>
          <t>Link to each communication device healthy (8 links)</t>
        </is>
      </c>
      <c r="D450" s="11" t="inlineStr">
        <is>
          <t>Read</t>
        </is>
      </c>
      <c r="E450" s="11" t="inlineStr">
        <is>
          <t>Status</t>
        </is>
      </c>
      <c r="F450" s="11" t="inlineStr">
        <is>
          <t>-</t>
        </is>
      </c>
      <c r="G450" s="11" t="inlineStr">
        <is>
          <t>Internal</t>
        </is>
      </c>
      <c r="H450" s="11" t="inlineStr">
        <is>
          <t>2</t>
        </is>
      </c>
      <c r="I450" s="11" t="inlineStr">
        <is>
          <t>Off</t>
        </is>
      </c>
      <c r="J450" s="11" t="inlineStr">
        <is>
          <t>-</t>
        </is>
      </c>
      <c r="K450" s="11" t="n"/>
    </row>
    <row r="451">
      <c r="A451" s="11" t="inlineStr">
        <is>
          <t>CP-LINK2-OK</t>
        </is>
      </c>
      <c r="B451" s="11" t="inlineStr">
        <is>
          <t>SICAM CP-8050 internal</t>
        </is>
      </c>
      <c r="C451" s="11" t="inlineStr">
        <is>
          <t>Link to each communication device healthy (8 links)</t>
        </is>
      </c>
      <c r="D451" s="11" t="inlineStr">
        <is>
          <t>Read</t>
        </is>
      </c>
      <c r="E451" s="11" t="inlineStr">
        <is>
          <t>Status</t>
        </is>
      </c>
      <c r="F451" s="11" t="inlineStr">
        <is>
          <t>-</t>
        </is>
      </c>
      <c r="G451" s="11" t="inlineStr">
        <is>
          <t>Internal</t>
        </is>
      </c>
      <c r="H451" s="11" t="inlineStr">
        <is>
          <t>2</t>
        </is>
      </c>
      <c r="I451" s="11" t="inlineStr">
        <is>
          <t>Off</t>
        </is>
      </c>
      <c r="J451" s="11" t="inlineStr">
        <is>
          <t>-</t>
        </is>
      </c>
      <c r="K451" s="11" t="n"/>
    </row>
    <row r="452">
      <c r="A452" s="11" t="inlineStr">
        <is>
          <t>CP-LINK3-OK</t>
        </is>
      </c>
      <c r="B452" s="11" t="inlineStr">
        <is>
          <t>SICAM CP-8050 internal</t>
        </is>
      </c>
      <c r="C452" s="11" t="inlineStr">
        <is>
          <t>Link to each communication device healthy (8 links)</t>
        </is>
      </c>
      <c r="D452" s="11" t="inlineStr">
        <is>
          <t>Read</t>
        </is>
      </c>
      <c r="E452" s="11" t="inlineStr">
        <is>
          <t>Status</t>
        </is>
      </c>
      <c r="F452" s="11" t="inlineStr">
        <is>
          <t>-</t>
        </is>
      </c>
      <c r="G452" s="11" t="inlineStr">
        <is>
          <t>Internal</t>
        </is>
      </c>
      <c r="H452" s="11" t="inlineStr">
        <is>
          <t>2</t>
        </is>
      </c>
      <c r="I452" s="11" t="inlineStr">
        <is>
          <t>Off</t>
        </is>
      </c>
      <c r="J452" s="11" t="inlineStr">
        <is>
          <t>-</t>
        </is>
      </c>
      <c r="K452" s="11" t="n"/>
    </row>
    <row r="453">
      <c r="A453" s="11" t="inlineStr">
        <is>
          <t>CP-LINK4-OK</t>
        </is>
      </c>
      <c r="B453" s="11" t="inlineStr">
        <is>
          <t>SICAM CP-8050 internal</t>
        </is>
      </c>
      <c r="C453" s="11" t="inlineStr">
        <is>
          <t>Link to each communication device healthy (8 links)</t>
        </is>
      </c>
      <c r="D453" s="11" t="inlineStr">
        <is>
          <t>Read</t>
        </is>
      </c>
      <c r="E453" s="11" t="inlineStr">
        <is>
          <t>Status</t>
        </is>
      </c>
      <c r="F453" s="11" t="inlineStr">
        <is>
          <t>-</t>
        </is>
      </c>
      <c r="G453" s="11" t="inlineStr">
        <is>
          <t>Internal</t>
        </is>
      </c>
      <c r="H453" s="11" t="inlineStr">
        <is>
          <t>2</t>
        </is>
      </c>
      <c r="I453" s="11" t="inlineStr">
        <is>
          <t>Off</t>
        </is>
      </c>
      <c r="J453" s="11" t="inlineStr">
        <is>
          <t>-</t>
        </is>
      </c>
      <c r="K453" s="11" t="n"/>
    </row>
    <row r="454">
      <c r="A454" s="11" t="inlineStr">
        <is>
          <t>CP-LINK5-OK</t>
        </is>
      </c>
      <c r="B454" s="11" t="inlineStr">
        <is>
          <t>SICAM CP-8050 internal</t>
        </is>
      </c>
      <c r="C454" s="11" t="inlineStr">
        <is>
          <t>Link to each communication device healthy (8 links)</t>
        </is>
      </c>
      <c r="D454" s="11" t="inlineStr">
        <is>
          <t>Read</t>
        </is>
      </c>
      <c r="E454" s="11" t="inlineStr">
        <is>
          <t>Status</t>
        </is>
      </c>
      <c r="F454" s="11" t="inlineStr">
        <is>
          <t>-</t>
        </is>
      </c>
      <c r="G454" s="11" t="inlineStr">
        <is>
          <t>Internal</t>
        </is>
      </c>
      <c r="H454" s="11" t="inlineStr">
        <is>
          <t>2</t>
        </is>
      </c>
      <c r="I454" s="11" t="inlineStr">
        <is>
          <t>Off</t>
        </is>
      </c>
      <c r="J454" s="11" t="inlineStr">
        <is>
          <t>-</t>
        </is>
      </c>
      <c r="K454" s="11" t="n"/>
    </row>
    <row r="455">
      <c r="A455" s="11" t="inlineStr">
        <is>
          <t>CP-LINK6-OK</t>
        </is>
      </c>
      <c r="B455" s="11" t="inlineStr">
        <is>
          <t>SICAM CP-8050 internal</t>
        </is>
      </c>
      <c r="C455" s="11" t="inlineStr">
        <is>
          <t>Link to each communication device healthy (8 links)</t>
        </is>
      </c>
      <c r="D455" s="11" t="inlineStr">
        <is>
          <t>Read</t>
        </is>
      </c>
      <c r="E455" s="11" t="inlineStr">
        <is>
          <t>Status</t>
        </is>
      </c>
      <c r="F455" s="11" t="inlineStr">
        <is>
          <t>-</t>
        </is>
      </c>
      <c r="G455" s="11" t="inlineStr">
        <is>
          <t>Internal</t>
        </is>
      </c>
      <c r="H455" s="11" t="inlineStr">
        <is>
          <t>2</t>
        </is>
      </c>
      <c r="I455" s="11" t="inlineStr">
        <is>
          <t>Off</t>
        </is>
      </c>
      <c r="J455" s="11" t="inlineStr">
        <is>
          <t>-</t>
        </is>
      </c>
      <c r="K455" s="11" t="n"/>
    </row>
    <row r="456">
      <c r="A456" s="11" t="inlineStr">
        <is>
          <t>CP-LINK7-OK</t>
        </is>
      </c>
      <c r="B456" s="11" t="inlineStr">
        <is>
          <t>SICAM CP-8050 internal</t>
        </is>
      </c>
      <c r="C456" s="11" t="inlineStr">
        <is>
          <t>Link to each communication device healthy (8 links)</t>
        </is>
      </c>
      <c r="D456" s="11" t="inlineStr">
        <is>
          <t>Read</t>
        </is>
      </c>
      <c r="E456" s="11" t="inlineStr">
        <is>
          <t>Status</t>
        </is>
      </c>
      <c r="F456" s="11" t="inlineStr">
        <is>
          <t>-</t>
        </is>
      </c>
      <c r="G456" s="11" t="inlineStr">
        <is>
          <t>Internal</t>
        </is>
      </c>
      <c r="H456" s="11" t="inlineStr">
        <is>
          <t>2</t>
        </is>
      </c>
      <c r="I456" s="11" t="inlineStr">
        <is>
          <t>Off</t>
        </is>
      </c>
      <c r="J456" s="11" t="inlineStr">
        <is>
          <t>-</t>
        </is>
      </c>
      <c r="K456" s="11" t="n"/>
    </row>
    <row r="457">
      <c r="A457" s="11" t="inlineStr">
        <is>
          <t>CP-LINK8-OK</t>
        </is>
      </c>
      <c r="B457" s="11" t="inlineStr">
        <is>
          <t>SICAM CP-8050 internal</t>
        </is>
      </c>
      <c r="C457" s="11" t="inlineStr">
        <is>
          <t>Link to each communication device healthy (8 links)</t>
        </is>
      </c>
      <c r="D457" s="11" t="inlineStr">
        <is>
          <t>Read</t>
        </is>
      </c>
      <c r="E457" s="11" t="inlineStr">
        <is>
          <t>Status</t>
        </is>
      </c>
      <c r="F457" s="11" t="inlineStr">
        <is>
          <t>-</t>
        </is>
      </c>
      <c r="G457" s="11" t="inlineStr">
        <is>
          <t>Internal</t>
        </is>
      </c>
      <c r="H457" s="11" t="inlineStr">
        <is>
          <t>2</t>
        </is>
      </c>
      <c r="I457" s="11" t="inlineStr">
        <is>
          <t>Off</t>
        </is>
      </c>
      <c r="J457" s="11" t="inlineStr">
        <is>
          <t>-</t>
        </is>
      </c>
      <c r="K457" s="11" t="n"/>
    </row>
  </sheetData>
  <autoFilter ref="A1:K4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zoomScaleNormal="100" workbookViewId="0">
      <pane ySplit="1" topLeftCell="A12" activePane="bottomLeft" state="frozen"/>
      <selection pane="bottomLeft" activeCell="A1" sqref="A1"/>
    </sheetView>
  </sheetViews>
  <sheetFormatPr baseColWidth="8" defaultColWidth="8.6640625" defaultRowHeight="14.25"/>
  <cols>
    <col width="5" customWidth="1" min="1" max="1"/>
    <col width="14" customWidth="1" min="2" max="2"/>
    <col width="30" customWidth="1" min="3" max="3"/>
    <col width="16" customWidth="1" min="4" max="4"/>
    <col width="22" customWidth="1" min="5" max="5"/>
    <col width="20" customWidth="1" min="6" max="6"/>
    <col width="40" customWidth="1" min="7" max="7"/>
    <col width="46" customWidth="1" min="8" max="8"/>
    <col width="10" customWidth="1" min="9" max="9"/>
  </cols>
  <sheetData>
    <row r="1" ht="30" customHeight="1">
      <c r="A1" s="8" t="inlineStr">
        <is>
          <t>No.</t>
        </is>
      </c>
      <c r="B1" s="8" t="inlineStr">
        <is>
          <t>Group</t>
        </is>
      </c>
      <c r="C1" s="8" t="inlineStr">
        <is>
          <t>Item</t>
        </is>
      </c>
      <c r="D1" s="8" t="inlineStr">
        <is>
          <t>Manufacturer</t>
        </is>
      </c>
      <c r="E1" s="8" t="inlineStr">
        <is>
          <t>Model</t>
        </is>
      </c>
      <c r="F1" s="8" t="inlineStr">
        <is>
          <t>Order no. to search</t>
        </is>
      </c>
      <c r="G1" s="8" t="inlineStr">
        <is>
          <t>Documents to collect</t>
        </is>
      </c>
      <c r="H1" s="8" t="inlineStr">
        <is>
          <t>Where to download</t>
        </is>
      </c>
      <c r="I1" s="8" t="inlineStr">
        <is>
          <t>Collected</t>
        </is>
      </c>
    </row>
    <row r="2" ht="38.25" customHeight="1">
      <c r="A2" s="11" t="n">
        <v>1</v>
      </c>
      <c r="B2" s="11" t="inlineStr">
        <is>
          <t>Controller</t>
        </is>
      </c>
      <c r="C2" s="11" t="inlineStr">
        <is>
          <t>Processor module</t>
        </is>
      </c>
      <c r="D2" s="11" t="inlineStr">
        <is>
          <t>Siemens</t>
        </is>
      </c>
      <c r="E2" s="11" t="inlineStr">
        <is>
          <t>SICAM A8000 CP-8050</t>
        </is>
      </c>
      <c r="F2" s="11" t="inlineStr">
        <is>
          <t>6MF2805-0AA00</t>
        </is>
      </c>
      <c r="G2" s="11" t="inlineStr">
        <is>
          <t>Datasheet; CP-8050 system manual; security manual</t>
        </is>
      </c>
      <c r="H2" s="11" t="inlineStr">
        <is>
          <t>Siemens Industry Online Support (support.industry.siemens.com): search the order number, tab 'Product information' or 'Manuals'</t>
        </is>
      </c>
      <c r="I2" s="11" t="n"/>
    </row>
    <row r="3" ht="38.25" customHeight="1">
      <c r="A3" s="11" t="n">
        <v>2</v>
      </c>
      <c r="B3" s="11" t="inlineStr">
        <is>
          <t>Controller</t>
        </is>
      </c>
      <c r="C3" s="11" t="inlineStr">
        <is>
          <t>Power supply</t>
        </is>
      </c>
      <c r="D3" s="11" t="inlineStr">
        <is>
          <t>Siemens</t>
        </is>
      </c>
      <c r="E3" s="11" t="inlineStr">
        <is>
          <t>SICAM A8000 PS-8642</t>
        </is>
      </c>
      <c r="F3" s="11" t="inlineStr">
        <is>
          <t>6MF2864-2AA00</t>
        </is>
      </c>
      <c r="G3" s="11" t="inlineStr">
        <is>
          <t>Datasheet</t>
        </is>
      </c>
      <c r="H3" s="11" t="inlineStr">
        <is>
          <t>Siemens Industry Online Support (support.industry.siemens.com): search the order number, tab 'Product information' or 'Manuals'</t>
        </is>
      </c>
      <c r="I3" s="11" t="n"/>
    </row>
    <row r="4" ht="38.25" customHeight="1">
      <c r="A4" s="11" t="n">
        <v>3</v>
      </c>
      <c r="B4" s="11" t="inlineStr">
        <is>
          <t>Controller</t>
        </is>
      </c>
      <c r="C4" s="11" t="inlineStr">
        <is>
          <t>Ethernet interface</t>
        </is>
      </c>
      <c r="D4" s="11" t="inlineStr">
        <is>
          <t>Siemens</t>
        </is>
      </c>
      <c r="E4" s="11" t="inlineStr">
        <is>
          <t>SICAM A8000 CI-8520</t>
        </is>
      </c>
      <c r="F4" s="11" t="inlineStr">
        <is>
          <t>6MF2852-0AA00</t>
        </is>
      </c>
      <c r="G4" s="11" t="inlineStr">
        <is>
          <t>Datasheet</t>
        </is>
      </c>
      <c r="H4" s="11" t="inlineStr">
        <is>
          <t>Siemens Industry Online Support (support.industry.siemens.com): search the order number, tab 'Product information' or 'Manuals'</t>
        </is>
      </c>
      <c r="I4" s="11" t="n"/>
    </row>
    <row r="5" ht="38.25" customHeight="1">
      <c r="A5" s="11" t="n">
        <v>4</v>
      </c>
      <c r="B5" s="11" t="inlineStr">
        <is>
          <t>Controller</t>
        </is>
      </c>
      <c r="C5" s="11" t="inlineStr">
        <is>
          <t>Flash card</t>
        </is>
      </c>
      <c r="D5" s="11" t="inlineStr">
        <is>
          <t>Siemens</t>
        </is>
      </c>
      <c r="E5" s="11" t="inlineStr">
        <is>
          <t>SICAM flash card 2 GB</t>
        </is>
      </c>
      <c r="F5" s="11" t="inlineStr">
        <is>
          <t>6MF1213-1GA05-0AA0</t>
        </is>
      </c>
      <c r="G5" s="11" t="inlineStr">
        <is>
          <t>Datasheet</t>
        </is>
      </c>
      <c r="H5" s="11" t="inlineStr">
        <is>
          <t>Siemens Industry Online Support (support.industry.siemens.com): search the order number, tab 'Product information' or 'Manuals'</t>
        </is>
      </c>
      <c r="I5" s="11" t="n"/>
    </row>
    <row r="6" ht="38.25" customHeight="1">
      <c r="A6" s="11" t="n">
        <v>5</v>
      </c>
      <c r="B6" s="11" t="inlineStr">
        <is>
          <t>I/O</t>
        </is>
      </c>
      <c r="C6" s="11" t="inlineStr">
        <is>
          <t>Digital input module</t>
        </is>
      </c>
      <c r="D6" s="11" t="inlineStr">
        <is>
          <t>Siemens</t>
        </is>
      </c>
      <c r="E6" s="11" t="inlineStr">
        <is>
          <t>SICAM A8000 DI-8112</t>
        </is>
      </c>
      <c r="F6" s="11" t="inlineStr">
        <is>
          <t>6MF2811-2AA00</t>
        </is>
      </c>
      <c r="G6" s="11" t="inlineStr">
        <is>
          <t>Datasheet (confirm input voltage)</t>
        </is>
      </c>
      <c r="H6" s="11" t="inlineStr">
        <is>
          <t>Siemens Industry Online Support (support.industry.siemens.com): search the order number, tab 'Product information' or 'Manuals'</t>
        </is>
      </c>
      <c r="I6" s="11" t="n"/>
    </row>
    <row r="7" ht="38.25" customHeight="1">
      <c r="A7" s="11" t="n">
        <v>6</v>
      </c>
      <c r="B7" s="11" t="inlineStr">
        <is>
          <t>I/O</t>
        </is>
      </c>
      <c r="C7" s="11" t="inlineStr">
        <is>
          <t>Secured command output</t>
        </is>
      </c>
      <c r="D7" s="11" t="inlineStr">
        <is>
          <t>Siemens</t>
        </is>
      </c>
      <c r="E7" s="11" t="inlineStr">
        <is>
          <t>SICAM A8000 DO-8221</t>
        </is>
      </c>
      <c r="F7" s="11" t="inlineStr">
        <is>
          <t>Ask Siemens</t>
        </is>
      </c>
      <c r="G7" s="11" t="inlineStr">
        <is>
          <t>Datasheet</t>
        </is>
      </c>
      <c r="H7" s="11" t="inlineStr">
        <is>
          <t>Siemens Industry Online Support (support.industry.siemens.com): search the order number, tab 'Product information' or 'Manuals'</t>
        </is>
      </c>
      <c r="I7" s="11" t="n"/>
    </row>
    <row r="8" ht="38.25" customHeight="1">
      <c r="A8" s="11" t="n">
        <v>7</v>
      </c>
      <c r="B8" s="11" t="inlineStr">
        <is>
          <t>I/O</t>
        </is>
      </c>
      <c r="C8" s="11" t="inlineStr">
        <is>
          <t>Relay output module</t>
        </is>
      </c>
      <c r="D8" s="11" t="inlineStr">
        <is>
          <t>Siemens</t>
        </is>
      </c>
      <c r="E8" s="11" t="inlineStr">
        <is>
          <t>SICAM A8000 DO-8212</t>
        </is>
      </c>
      <c r="F8" s="11" t="inlineStr">
        <is>
          <t>6MF2821-2AA00</t>
        </is>
      </c>
      <c r="G8" s="11" t="inlineStr">
        <is>
          <t>Datasheet</t>
        </is>
      </c>
      <c r="H8" s="11" t="inlineStr">
        <is>
          <t>Siemens Industry Online Support (support.industry.siemens.com): search the order number, tab 'Product information' or 'Manuals'</t>
        </is>
      </c>
      <c r="I8" s="11" t="n"/>
    </row>
    <row r="9" ht="38.25" customHeight="1">
      <c r="A9" s="11" t="n">
        <v>8</v>
      </c>
      <c r="B9" s="11" t="inlineStr">
        <is>
          <t>I/O</t>
        </is>
      </c>
      <c r="C9" s="11" t="inlineStr">
        <is>
          <t>Analogue input module</t>
        </is>
      </c>
      <c r="D9" s="11" t="inlineStr">
        <is>
          <t>Siemens</t>
        </is>
      </c>
      <c r="E9" s="11" t="inlineStr">
        <is>
          <t>SICAM A8000 AI-8320</t>
        </is>
      </c>
      <c r="F9" s="11" t="inlineStr">
        <is>
          <t>6MF2832-0AA00</t>
        </is>
      </c>
      <c r="G9" s="11" t="inlineStr">
        <is>
          <t>Datasheet</t>
        </is>
      </c>
      <c r="H9" s="11" t="inlineStr">
        <is>
          <t>Siemens Industry Online Support (support.industry.siemens.com): search the order number, tab 'Product information' or 'Manuals'</t>
        </is>
      </c>
      <c r="I9" s="11" t="n"/>
    </row>
    <row r="10" ht="38.25" customHeight="1">
      <c r="A10" s="11" t="n">
        <v>9</v>
      </c>
      <c r="B10" s="11" t="inlineStr">
        <is>
          <t>I/O</t>
        </is>
      </c>
      <c r="C10" s="11" t="inlineStr">
        <is>
          <t>Remote interface, electrical</t>
        </is>
      </c>
      <c r="D10" s="11" t="inlineStr">
        <is>
          <t>Siemens</t>
        </is>
      </c>
      <c r="E10" s="11" t="inlineStr">
        <is>
          <t>SICAM A8000 CI-8532</t>
        </is>
      </c>
      <c r="F10" s="11" t="inlineStr">
        <is>
          <t>6MF2853-2AA00</t>
        </is>
      </c>
      <c r="G10" s="11" t="inlineStr">
        <is>
          <t>Datasheet</t>
        </is>
      </c>
      <c r="H10" s="11" t="inlineStr">
        <is>
          <t>Siemens Industry Online Support (support.industry.siemens.com): search the order number, tab 'Product information' or 'Manuals'</t>
        </is>
      </c>
      <c r="I10" s="11" t="n"/>
    </row>
    <row r="11" ht="38.25" customHeight="1">
      <c r="A11" s="11" t="n">
        <v>10</v>
      </c>
      <c r="B11" s="11" t="inlineStr">
        <is>
          <t>I/O</t>
        </is>
      </c>
      <c r="C11" s="11" t="inlineStr">
        <is>
          <t>Remote interface, optical</t>
        </is>
      </c>
      <c r="D11" s="11" t="inlineStr">
        <is>
          <t>Siemens</t>
        </is>
      </c>
      <c r="E11" s="11" t="inlineStr">
        <is>
          <t>SICAM A8000 CI-8533</t>
        </is>
      </c>
      <c r="F11" s="11" t="inlineStr">
        <is>
          <t>Ask Siemens</t>
        </is>
      </c>
      <c r="G11" s="11" t="inlineStr">
        <is>
          <t>Datasheet, incl. fibre type and maximum length</t>
        </is>
      </c>
      <c r="H11" s="11" t="inlineStr">
        <is>
          <t>Siemens Industry Online Support (support.industry.siemens.com): search the order number, tab 'Product information' or 'Manuals'</t>
        </is>
      </c>
      <c r="I11" s="11" t="n"/>
    </row>
    <row r="12" ht="25.5" customHeight="1">
      <c r="A12" s="11" t="n">
        <v>11</v>
      </c>
      <c r="B12" s="11" t="inlineStr">
        <is>
          <t>I/O</t>
        </is>
      </c>
      <c r="C12" s="11" t="inlineStr">
        <is>
          <t>SICAM A8000 series</t>
        </is>
      </c>
      <c r="D12" s="11" t="inlineStr">
        <is>
          <t>Siemens</t>
        </is>
      </c>
      <c r="E12" s="11" t="inlineStr">
        <is>
          <t>SICAM A8000 catalogue</t>
        </is>
      </c>
      <c r="F12" s="11" t="inlineStr">
        <is>
          <t>-</t>
        </is>
      </c>
      <c r="G12" s="11" t="inlineStr">
        <is>
          <t>Catalogue / module overview</t>
        </is>
      </c>
      <c r="H12" s="11" t="inlineStr">
        <is>
          <t>Siemens SICAM A8000 product page (siemens.com, search 'SICAM A8000')</t>
        </is>
      </c>
      <c r="I12" s="11" t="n"/>
    </row>
    <row r="13" ht="38.25" customHeight="1">
      <c r="A13" s="11" t="n">
        <v>12</v>
      </c>
      <c r="B13" s="11" t="inlineStr">
        <is>
          <t>SCADA</t>
        </is>
      </c>
      <c r="C13" s="11" t="inlineStr">
        <is>
          <t>SCADA servers</t>
        </is>
      </c>
      <c r="D13" s="11" t="inlineStr">
        <is>
          <t>Siemens</t>
        </is>
      </c>
      <c r="E13" s="11" t="inlineStr">
        <is>
          <t>SIMATIC IPC647E</t>
        </is>
      </c>
      <c r="F13" s="11" t="inlineStr">
        <is>
          <t>Configured order no.</t>
        </is>
      </c>
      <c r="G13" s="11" t="inlineStr">
        <is>
          <t>Datasheet</t>
        </is>
      </c>
      <c r="H13" s="11" t="inlineStr">
        <is>
          <t>Siemens Industry Online Support (support.industry.siemens.com): search the order number, tab 'Product information' or 'Manuals'</t>
        </is>
      </c>
      <c r="I13" s="11" t="n"/>
    </row>
    <row r="14">
      <c r="A14" s="11" t="n">
        <v>13</v>
      </c>
      <c r="B14" s="11" t="inlineStr">
        <is>
          <t>SCADA</t>
        </is>
      </c>
      <c r="C14" s="11" t="inlineStr">
        <is>
          <t>Operator workstation</t>
        </is>
      </c>
      <c r="D14" s="11" t="inlineStr">
        <is>
          <t>Dell</t>
        </is>
      </c>
      <c r="E14" s="11" t="inlineStr">
        <is>
          <t>OptiPlex 7000 series</t>
        </is>
      </c>
      <c r="F14" s="11" t="inlineStr">
        <is>
          <t>Configured</t>
        </is>
      </c>
      <c r="G14" s="11" t="inlineStr">
        <is>
          <t>Specification sheet</t>
        </is>
      </c>
      <c r="H14" s="11" t="inlineStr">
        <is>
          <t>dell.com, product page 'OptiPlex 7000', Specifications</t>
        </is>
      </c>
      <c r="I14" s="11" t="n"/>
    </row>
    <row r="15" ht="25.5" customHeight="1">
      <c r="A15" s="11" t="n">
        <v>14</v>
      </c>
      <c r="B15" s="11" t="inlineStr">
        <is>
          <t>SCADA</t>
        </is>
      </c>
      <c r="C15" s="11" t="inlineStr">
        <is>
          <t>Engineering laptop</t>
        </is>
      </c>
      <c r="D15" s="11" t="inlineStr">
        <is>
          <t>Dell</t>
        </is>
      </c>
      <c r="E15" s="11" t="inlineStr">
        <is>
          <t>Latitude 5430 Rugged</t>
        </is>
      </c>
      <c r="F15" s="11" t="inlineStr">
        <is>
          <t>Configured</t>
        </is>
      </c>
      <c r="G15" s="11" t="inlineStr">
        <is>
          <t>Specification sheet</t>
        </is>
      </c>
      <c r="H15" s="11" t="inlineStr">
        <is>
          <t>dell.com, product page 'Latitude 5430 Rugged', Specifications</t>
        </is>
      </c>
      <c r="I15" s="11" t="n"/>
    </row>
    <row r="16" ht="25.5" customHeight="1">
      <c r="A16" s="11" t="n">
        <v>15</v>
      </c>
      <c r="B16" s="11" t="inlineStr">
        <is>
          <t>Network</t>
        </is>
      </c>
      <c r="C16" s="11" t="inlineStr">
        <is>
          <t>Core switches</t>
        </is>
      </c>
      <c r="D16" s="11" t="inlineStr">
        <is>
          <t>Siemens or Moxa</t>
        </is>
      </c>
      <c r="E16" s="11" t="inlineStr">
        <is>
          <t>SCALANCE XC216-4C (or Moxa EDS-G512E)</t>
        </is>
      </c>
      <c r="F16" s="11" t="inlineStr">
        <is>
          <t>Per final choice</t>
        </is>
      </c>
      <c r="G16" s="11" t="inlineStr">
        <is>
          <t>Datasheet; substation rating if any</t>
        </is>
      </c>
      <c r="H16" s="11" t="inlineStr">
        <is>
          <t>SIOS for SCALANCE; moxa.com product page for Moxa</t>
        </is>
      </c>
      <c r="I16" s="11" t="n"/>
    </row>
    <row r="17" ht="38.25" customHeight="1">
      <c r="A17" s="11" t="n">
        <v>16</v>
      </c>
      <c r="B17" s="11" t="inlineStr">
        <is>
          <t>Network</t>
        </is>
      </c>
      <c r="C17" s="11" t="inlineStr">
        <is>
          <t>Field and station switches</t>
        </is>
      </c>
      <c r="D17" s="11" t="inlineStr">
        <is>
          <t>Siemens or Moxa</t>
        </is>
      </c>
      <c r="E17" s="11" t="inlineStr">
        <is>
          <t>SCALANCE XC208 / XC206-2SFP EEC (or Moxa EDS-510E)</t>
        </is>
      </c>
      <c r="F17" s="11" t="inlineStr">
        <is>
          <t>Per final choice</t>
        </is>
      </c>
      <c r="G17" s="11" t="inlineStr">
        <is>
          <t>Datasheet</t>
        </is>
      </c>
      <c r="H17" s="11" t="inlineStr">
        <is>
          <t>SIOS for SCALANCE; moxa.com product page for Moxa</t>
        </is>
      </c>
      <c r="I17" s="11" t="n"/>
    </row>
    <row r="18" ht="25.5" customHeight="1">
      <c r="A18" s="11" t="n">
        <v>17</v>
      </c>
      <c r="B18" s="11" t="inlineStr">
        <is>
          <t>Network</t>
        </is>
      </c>
      <c r="C18" s="11" t="inlineStr">
        <is>
          <t>Fibre transceivers</t>
        </is>
      </c>
      <c r="D18" s="11" t="inlineStr">
        <is>
          <t>Siemens or Moxa</t>
        </is>
      </c>
      <c r="E18" s="11" t="inlineStr">
        <is>
          <t>SCALANCE SFP992-1LD (or Moxa SFP-1GLXLC)</t>
        </is>
      </c>
      <c r="F18" s="11" t="inlineStr">
        <is>
          <t>Per final choice</t>
        </is>
      </c>
      <c r="G18" s="11" t="inlineStr">
        <is>
          <t>Datasheet</t>
        </is>
      </c>
      <c r="H18" s="11" t="inlineStr">
        <is>
          <t>SIOS for SCALANCE; moxa.com product page for Moxa</t>
        </is>
      </c>
      <c r="I18" s="11" t="n"/>
    </row>
    <row r="19" ht="38.25" customHeight="1">
      <c r="A19" s="11" t="n">
        <v>18</v>
      </c>
      <c r="B19" s="11" t="inlineStr">
        <is>
          <t>Network</t>
        </is>
      </c>
      <c r="C19" s="11" t="inlineStr">
        <is>
          <t>Serial gateway for RMU relays</t>
        </is>
      </c>
      <c r="D19" s="11" t="inlineStr">
        <is>
          <t>Moxa (or Siemens RUGGEDCOM)</t>
        </is>
      </c>
      <c r="E19" s="11" t="inlineStr">
        <is>
          <t>MGate MB3170 (or RUGGEDCOM RS416 / RMC30)</t>
        </is>
      </c>
      <c r="F19" s="11" t="inlineStr">
        <is>
          <t>Per final choice</t>
        </is>
      </c>
      <c r="G19" s="11" t="inlineStr">
        <is>
          <t>Datasheet</t>
        </is>
      </c>
      <c r="H19" s="11" t="inlineStr">
        <is>
          <t>moxa.com product page; or siemens.com RUGGEDCOM pages</t>
        </is>
      </c>
      <c r="I19" s="11" t="n"/>
    </row>
    <row r="20" ht="38.25" customHeight="1">
      <c r="A20" s="11" t="n">
        <v>19</v>
      </c>
      <c r="B20" s="11" t="inlineStr">
        <is>
          <t>Network</t>
        </is>
      </c>
      <c r="C20" s="11" t="inlineStr">
        <is>
          <t>Firewall and VPN</t>
        </is>
      </c>
      <c r="D20" s="11" t="inlineStr">
        <is>
          <t>Siemens or Fortinet</t>
        </is>
      </c>
      <c r="E20" s="11" t="inlineStr">
        <is>
          <t>SCALANCE SC646-2C (or FortiGate Rugged 60F)</t>
        </is>
      </c>
      <c r="F20" s="11" t="inlineStr">
        <is>
          <t>Per final choice</t>
        </is>
      </c>
      <c r="G20" s="11" t="inlineStr">
        <is>
          <t>Datasheet</t>
        </is>
      </c>
      <c r="H20" s="11" t="inlineStr">
        <is>
          <t>SIOS for SCALANCE; fortinet.com data sheets library for FortiGate Rugged</t>
        </is>
      </c>
      <c r="I20" s="11" t="n"/>
    </row>
    <row r="21">
      <c r="A21" s="11" t="n">
        <v>20</v>
      </c>
      <c r="B21" s="11" t="inlineStr">
        <is>
          <t>Network</t>
        </is>
      </c>
      <c r="C21" s="11" t="inlineStr">
        <is>
          <t>GPS time server</t>
        </is>
      </c>
      <c r="D21" s="11" t="inlineStr">
        <is>
          <t>Meinberg</t>
        </is>
      </c>
      <c r="E21" s="11" t="inlineStr">
        <is>
          <t>LANTIME M300/GPS</t>
        </is>
      </c>
      <c r="F21" s="11" t="inlineStr">
        <is>
          <t>M300/GPS</t>
        </is>
      </c>
      <c r="G21" s="11" t="inlineStr">
        <is>
          <t>Datasheet</t>
        </is>
      </c>
      <c r="H21" s="11" t="inlineStr">
        <is>
          <t>meinbergglobal.com, product page LANTIME M300</t>
        </is>
      </c>
      <c r="I21" s="11" t="n"/>
    </row>
    <row r="22">
      <c r="A22" s="11" t="n">
        <v>21</v>
      </c>
      <c r="B22" s="11" t="inlineStr">
        <is>
          <t>Power</t>
        </is>
      </c>
      <c r="C22" s="11" t="inlineStr">
        <is>
          <t>Power meters</t>
        </is>
      </c>
      <c r="D22" s="11" t="inlineStr">
        <is>
          <t>Schneider Electric</t>
        </is>
      </c>
      <c r="E22" s="11" t="inlineStr">
        <is>
          <t>PowerLogic PM5560</t>
        </is>
      </c>
      <c r="F22" s="11" t="inlineStr">
        <is>
          <t>METSEPM5560</t>
        </is>
      </c>
      <c r="G22" s="11" t="inlineStr">
        <is>
          <t>Datasheet; Modbus register list</t>
        </is>
      </c>
      <c r="H22" s="11" t="inlineStr">
        <is>
          <t>se.com, search 'METSEPM5560', Documents</t>
        </is>
      </c>
      <c r="I22" s="11" t="n"/>
    </row>
    <row r="23" ht="38.25" customHeight="1">
      <c r="A23" s="11" t="n">
        <v>22</v>
      </c>
      <c r="B23" s="11" t="inlineStr">
        <is>
          <t>Power</t>
        </is>
      </c>
      <c r="C23" s="11" t="inlineStr">
        <is>
          <t>24 V DC power supplies</t>
        </is>
      </c>
      <c r="D23" s="11" t="inlineStr">
        <is>
          <t>Siemens</t>
        </is>
      </c>
      <c r="E23" s="11" t="inlineStr">
        <is>
          <t>SITOP PSU8200 24 V/20 A</t>
        </is>
      </c>
      <c r="F23" s="11" t="inlineStr">
        <is>
          <t>6EP1336-3BA10</t>
        </is>
      </c>
      <c r="G23" s="11" t="inlineStr">
        <is>
          <t>Datasheet; SITOP PSU8200 1-phase manual</t>
        </is>
      </c>
      <c r="H23" s="11" t="inlineStr">
        <is>
          <t>Siemens Industry Online Support (support.industry.siemens.com): search the order number, tab 'Product information' or 'Manuals'</t>
        </is>
      </c>
      <c r="I23" s="11" t="n"/>
    </row>
    <row r="24" ht="25.5" customHeight="1">
      <c r="A24" s="11" t="n">
        <v>23</v>
      </c>
      <c r="B24" s="11" t="inlineStr">
        <is>
          <t>Power</t>
        </is>
      </c>
      <c r="C24" s="11" t="inlineStr">
        <is>
          <t>UPS</t>
        </is>
      </c>
      <c r="D24" s="11" t="inlineStr">
        <is>
          <t>APC (Schneider Electric)</t>
        </is>
      </c>
      <c r="E24" s="11" t="inlineStr">
        <is>
          <t>Smart-UPS SRT 3000 VA</t>
        </is>
      </c>
      <c r="F24" s="11" t="inlineStr">
        <is>
          <t>SRT3000RMXLI</t>
        </is>
      </c>
      <c r="G24" s="11" t="inlineStr">
        <is>
          <t>Datasheet</t>
        </is>
      </c>
      <c r="H24" s="11" t="inlineStr">
        <is>
          <t>apc.com or se.com, search 'SRT3000RMXLI'</t>
        </is>
      </c>
      <c r="I24" s="11" t="n"/>
    </row>
    <row r="25">
      <c r="A25" s="11" t="n">
        <v>24</v>
      </c>
      <c r="B25" s="11" t="inlineStr">
        <is>
          <t>Enclosure</t>
        </is>
      </c>
      <c r="C25" s="11" t="inlineStr">
        <is>
          <t>SCADA cabinet</t>
        </is>
      </c>
      <c r="D25" s="11" t="inlineStr">
        <is>
          <t>Rittal</t>
        </is>
      </c>
      <c r="E25" s="11" t="inlineStr">
        <is>
          <t>VX25 800 x 2000 x 800</t>
        </is>
      </c>
      <c r="F25" s="11" t="inlineStr">
        <is>
          <t>8808.000</t>
        </is>
      </c>
      <c r="G25" s="11" t="inlineStr">
        <is>
          <t>Datasheet</t>
        </is>
      </c>
      <c r="H25" s="11" t="inlineStr">
        <is>
          <t>rittal.com, search '8808.000'</t>
        </is>
      </c>
      <c r="I25" s="11" t="n"/>
    </row>
    <row r="26">
      <c r="A26" s="11" t="n">
        <v>25</v>
      </c>
      <c r="B26" s="11" t="inlineStr">
        <is>
          <t>Enclosure</t>
        </is>
      </c>
      <c r="C26" s="11" t="inlineStr">
        <is>
          <t>Outdoor I/O panels</t>
        </is>
      </c>
      <c r="D26" s="11" t="inlineStr">
        <is>
          <t>Rittal</t>
        </is>
      </c>
      <c r="E26" s="11" t="inlineStr">
        <is>
          <t>AX, size to suit</t>
        </is>
      </c>
      <c r="F26" s="11" t="inlineStr">
        <is>
          <t>Per size</t>
        </is>
      </c>
      <c r="G26" s="11" t="inlineStr">
        <is>
          <t>Datasheet</t>
        </is>
      </c>
      <c r="H26" s="11" t="inlineStr">
        <is>
          <t>rittal.com, AX compact enclosures</t>
        </is>
      </c>
      <c r="I26" s="11" t="n"/>
    </row>
    <row r="27">
      <c r="A27" s="11" t="n">
        <v>26</v>
      </c>
      <c r="B27" s="11" t="inlineStr">
        <is>
          <t>Enclosure</t>
        </is>
      </c>
      <c r="C27" s="11" t="inlineStr">
        <is>
          <t>Alarm sounder and beacon</t>
        </is>
      </c>
      <c r="D27" s="11" t="inlineStr">
        <is>
          <t>Pfannenberg</t>
        </is>
      </c>
      <c r="E27" s="11" t="inlineStr">
        <is>
          <t>PATROL series</t>
        </is>
      </c>
      <c r="F27" s="11" t="inlineStr">
        <is>
          <t>Per model</t>
        </is>
      </c>
      <c r="G27" s="11" t="inlineStr">
        <is>
          <t>Datasheet</t>
        </is>
      </c>
      <c r="H27" s="11" t="inlineStr">
        <is>
          <t>pfannenberg.com, PATROL series</t>
        </is>
      </c>
      <c r="I27" s="11" t="n"/>
    </row>
    <row r="28" ht="25.5" customHeight="1">
      <c r="A28" s="11" t="n">
        <v>27</v>
      </c>
      <c r="B28" s="11" t="inlineStr">
        <is>
          <t>Software</t>
        </is>
      </c>
      <c r="C28" s="11" t="inlineStr">
        <is>
          <t>Substation SCADA</t>
        </is>
      </c>
      <c r="D28" s="11" t="inlineStr">
        <is>
          <t>Siemens</t>
        </is>
      </c>
      <c r="E28" s="11" t="inlineStr">
        <is>
          <t>SICAM SCC</t>
        </is>
      </c>
      <c r="F28" s="11" t="inlineStr">
        <is>
          <t>Per licence quote</t>
        </is>
      </c>
      <c r="G28" s="11" t="inlineStr">
        <is>
          <t>Product description; system requirements; licensing</t>
        </is>
      </c>
      <c r="H28" s="11" t="inlineStr">
        <is>
          <t>Siemens SICAM SCC product page; documents via SIOS</t>
        </is>
      </c>
      <c r="I28" s="11" t="n"/>
    </row>
    <row r="29" ht="25.5" customHeight="1">
      <c r="A29" s="11" t="n">
        <v>28</v>
      </c>
      <c r="B29" s="11" t="inlineStr">
        <is>
          <t>Software</t>
        </is>
      </c>
      <c r="C29" s="11" t="inlineStr">
        <is>
          <t>Controller engineering tool</t>
        </is>
      </c>
      <c r="D29" s="11" t="inlineStr">
        <is>
          <t>Siemens</t>
        </is>
      </c>
      <c r="E29" s="11" t="inlineStr">
        <is>
          <t>SICAM Device Manager</t>
        </is>
      </c>
      <c r="F29" s="11" t="inlineStr">
        <is>
          <t>Per licence quote</t>
        </is>
      </c>
      <c r="G29" s="11" t="inlineStr">
        <is>
          <t>Product information; system requirements</t>
        </is>
      </c>
      <c r="H29" s="11" t="inlineStr">
        <is>
          <t>Siemens SICAM A8000 / Device Manager pages; SIOS</t>
        </is>
      </c>
      <c r="I29" s="11" t="n"/>
    </row>
    <row r="30" ht="25.5" customHeight="1">
      <c r="A30" s="11" t="n">
        <v>29</v>
      </c>
      <c r="B30" s="11" t="inlineStr">
        <is>
          <t>Software</t>
        </is>
      </c>
      <c r="C30" s="11" t="inlineStr">
        <is>
          <t>Network management</t>
        </is>
      </c>
      <c r="D30" s="11" t="inlineStr">
        <is>
          <t>Siemens or Moxa</t>
        </is>
      </c>
      <c r="E30" s="11" t="inlineStr">
        <is>
          <t>SINEC NMS (or Moxa MXview One)</t>
        </is>
      </c>
      <c r="F30" s="11" t="inlineStr">
        <is>
          <t>Per licence quote</t>
        </is>
      </c>
      <c r="G30" s="11" t="inlineStr">
        <is>
          <t>Product information</t>
        </is>
      </c>
      <c r="H30" s="11" t="inlineStr">
        <is>
          <t>SIOS for SINEC NMS; moxa.com for MXview One</t>
        </is>
      </c>
      <c r="I30" s="11" t="n"/>
    </row>
    <row r="31" ht="25.5" customHeight="1">
      <c r="A31" s="11" t="n">
        <v>30</v>
      </c>
      <c r="B31" s="11" t="inlineStr">
        <is>
          <t>Software</t>
        </is>
      </c>
      <c r="C31" s="11" t="inlineStr">
        <is>
          <t>Remote access management</t>
        </is>
      </c>
      <c r="D31" s="11" t="inlineStr">
        <is>
          <t>Siemens or Fortinet</t>
        </is>
      </c>
      <c r="E31" s="11" t="inlineStr">
        <is>
          <t>SINEMA Remote Connect (or FortiClient)</t>
        </is>
      </c>
      <c r="F31" s="11" t="inlineStr">
        <is>
          <t>Per licence quote</t>
        </is>
      </c>
      <c r="G31" s="11" t="inlineStr">
        <is>
          <t>Product information</t>
        </is>
      </c>
      <c r="H31" s="11" t="inlineStr">
        <is>
          <t>SIOS for SINEMA RC; fortinet.com for FortiClient</t>
        </is>
      </c>
      <c r="I31" s="11" t="n"/>
    </row>
    <row r="32" ht="25.5" customHeight="1">
      <c r="A32" s="11" t="n">
        <v>31</v>
      </c>
      <c r="B32" s="11" t="inlineStr">
        <is>
          <t>Software</t>
        </is>
      </c>
      <c r="C32" s="11" t="inlineStr">
        <is>
          <t>Operating systems</t>
        </is>
      </c>
      <c r="D32" s="11" t="inlineStr">
        <is>
          <t>Microsoft</t>
        </is>
      </c>
      <c r="E32" s="11" t="inlineStr">
        <is>
          <t>Windows Server, Windows 11 Pro</t>
        </is>
      </c>
      <c r="F32" s="11" t="inlineStr">
        <is>
          <t>-</t>
        </is>
      </c>
      <c r="G32" s="11" t="inlineStr">
        <is>
          <t>Not usually requested; licence certificates at delivery</t>
        </is>
      </c>
      <c r="H32" s="11" t="inlineStr">
        <is>
          <t>-</t>
        </is>
      </c>
      <c r="I32" s="11" t="n"/>
    </row>
    <row r="33">
      <c r="A33" s="11" t="n">
        <v>32</v>
      </c>
      <c r="B33" s="11" t="inlineStr">
        <is>
          <t>Field device</t>
        </is>
      </c>
      <c r="C33" s="11" t="inlineStr">
        <is>
          <t>PV inverters</t>
        </is>
      </c>
      <c r="D33" s="11" t="inlineStr">
        <is>
          <t>Sungrow</t>
        </is>
      </c>
      <c r="E33" s="11" t="inlineStr">
        <is>
          <t>SG350HX</t>
        </is>
      </c>
      <c r="F33" s="11" t="inlineStr">
        <is>
          <t>-</t>
        </is>
      </c>
      <c r="G33" s="11" t="inlineStr">
        <is>
          <t>Datasheet; communication protocol</t>
        </is>
      </c>
      <c r="H33" s="11" t="inlineStr">
        <is>
          <t>sungrowpower.com product page; or PV designer</t>
        </is>
      </c>
      <c r="I33" s="11" t="n"/>
    </row>
    <row r="34">
      <c r="A34" s="11" t="n">
        <v>33</v>
      </c>
      <c r="B34" s="11" t="inlineStr">
        <is>
          <t>Field device</t>
        </is>
      </c>
      <c r="C34" s="11" t="inlineStr">
        <is>
          <t>Power line communication box</t>
        </is>
      </c>
      <c r="D34" s="11" t="inlineStr">
        <is>
          <t>Sungrow</t>
        </is>
      </c>
      <c r="E34" s="12" t="inlineStr">
        <is>
          <t>TBC</t>
        </is>
      </c>
      <c r="F34" s="11" t="inlineStr">
        <is>
          <t>-</t>
        </is>
      </c>
      <c r="G34" s="11" t="inlineStr">
        <is>
          <t>Datasheet; Modbus point table</t>
        </is>
      </c>
      <c r="H34" s="11" t="inlineStr">
        <is>
          <t>PV designer</t>
        </is>
      </c>
      <c r="I34" s="11" t="n"/>
    </row>
    <row r="35">
      <c r="A35" s="11" t="n">
        <v>34</v>
      </c>
      <c r="B35" s="11" t="inlineStr">
        <is>
          <t>Field device</t>
        </is>
      </c>
      <c r="C35" s="11" t="inlineStr">
        <is>
          <t>Battery system</t>
        </is>
      </c>
      <c r="D35" s="11" t="inlineStr">
        <is>
          <t>Sungrow</t>
        </is>
      </c>
      <c r="E35" s="11" t="inlineStr">
        <is>
          <t>ST3340UX</t>
        </is>
      </c>
      <c r="F35" s="11" t="inlineStr">
        <is>
          <t>-</t>
        </is>
      </c>
      <c r="G35" s="11" t="inlineStr">
        <is>
          <t>Datasheet; communication protocol</t>
        </is>
      </c>
      <c r="H35" s="11" t="inlineStr">
        <is>
          <t>Battery supplier</t>
        </is>
      </c>
      <c r="I35" s="11" t="n"/>
    </row>
    <row r="36">
      <c r="A36" s="11" t="n">
        <v>35</v>
      </c>
      <c r="B36" s="11" t="inlineStr">
        <is>
          <t>Field device</t>
        </is>
      </c>
      <c r="C36" s="11" t="inlineStr">
        <is>
          <t>Embedded EMS</t>
        </is>
      </c>
      <c r="D36" s="11" t="inlineStr">
        <is>
          <t>TBC</t>
        </is>
      </c>
      <c r="E36" s="12" t="inlineStr">
        <is>
          <t>TBC</t>
        </is>
      </c>
      <c r="F36" s="11" t="inlineStr">
        <is>
          <t>-</t>
        </is>
      </c>
      <c r="G36" s="11" t="inlineStr">
        <is>
          <t>Datasheet; Modbus point table</t>
        </is>
      </c>
      <c r="H36" s="11" t="inlineStr">
        <is>
          <t>PV designer</t>
        </is>
      </c>
      <c r="I36" s="11" t="n"/>
    </row>
    <row r="37">
      <c r="A37" s="11" t="n">
        <v>36</v>
      </c>
      <c r="B37" s="11" t="inlineStr">
        <is>
          <t>Field device</t>
        </is>
      </c>
      <c r="C37" s="11" t="inlineStr">
        <is>
          <t>Generator controllers</t>
        </is>
      </c>
      <c r="D37" s="11" t="inlineStr">
        <is>
          <t>TBC</t>
        </is>
      </c>
      <c r="E37" s="12" t="inlineStr">
        <is>
          <t>TBC</t>
        </is>
      </c>
      <c r="F37" s="11" t="inlineStr">
        <is>
          <t>-</t>
        </is>
      </c>
      <c r="G37" s="11" t="inlineStr">
        <is>
          <t>Datasheet; Modbus point table</t>
        </is>
      </c>
      <c r="H37" s="11" t="inlineStr">
        <is>
          <t>Generator supplier</t>
        </is>
      </c>
      <c r="I37" s="11" t="n"/>
    </row>
    <row r="38" ht="25.5" customHeight="1">
      <c r="A38" s="11" t="n">
        <v>37</v>
      </c>
      <c r="B38" s="11" t="inlineStr">
        <is>
          <t>Field device</t>
        </is>
      </c>
      <c r="C38" s="11" t="inlineStr">
        <is>
          <t>11 kV protection relays</t>
        </is>
      </c>
      <c r="D38" s="11" t="inlineStr">
        <is>
          <t>TBC</t>
        </is>
      </c>
      <c r="E38" s="12" t="inlineStr">
        <is>
          <t>TBC</t>
        </is>
      </c>
      <c r="F38" s="11" t="inlineStr">
        <is>
          <t>-</t>
        </is>
      </c>
      <c r="G38" s="11" t="inlineStr">
        <is>
          <t>Datasheet; IEC 61850 or Modbus documentation</t>
        </is>
      </c>
      <c r="H38" s="11" t="inlineStr">
        <is>
          <t>Switchgear supplier</t>
        </is>
      </c>
      <c r="I38" s="11" t="n"/>
    </row>
    <row r="39">
      <c r="A39" s="11" t="n">
        <v>38</v>
      </c>
      <c r="B39" s="11" t="inlineStr">
        <is>
          <t>Field device</t>
        </is>
      </c>
      <c r="C39" s="11" t="inlineStr">
        <is>
          <t>RMU relays</t>
        </is>
      </c>
      <c r="D39" s="11" t="inlineStr">
        <is>
          <t>Per RMU supplier</t>
        </is>
      </c>
      <c r="E39" s="11" t="inlineStr">
        <is>
          <t>ST260E</t>
        </is>
      </c>
      <c r="F39" s="11" t="inlineStr">
        <is>
          <t>-</t>
        </is>
      </c>
      <c r="G39" s="11" t="inlineStr">
        <is>
          <t>Datasheet; Modbus map</t>
        </is>
      </c>
      <c r="H39" s="11" t="inlineStr">
        <is>
          <t>RMU supplier</t>
        </is>
      </c>
      <c r="I39" s="11" t="n"/>
    </row>
    <row r="40" ht="25.5" customHeight="1">
      <c r="A40" s="11" t="n">
        <v>39</v>
      </c>
      <c r="B40" s="11" t="inlineStr">
        <is>
          <t>Field device</t>
        </is>
      </c>
      <c r="C40" s="11" t="inlineStr">
        <is>
          <t>Fire detection and suppression panel</t>
        </is>
      </c>
      <c r="D40" s="11" t="inlineStr">
        <is>
          <t>TBC</t>
        </is>
      </c>
      <c r="E40" s="12" t="inlineStr">
        <is>
          <t>TBC</t>
        </is>
      </c>
      <c r="F40" s="11" t="inlineStr">
        <is>
          <t>-</t>
        </is>
      </c>
      <c r="G40" s="11" t="inlineStr">
        <is>
          <t>Datasheet; contact schedule</t>
        </is>
      </c>
      <c r="H40" s="11" t="inlineStr">
        <is>
          <t>Fire system supplier</t>
        </is>
      </c>
      <c r="I40" s="11" t="n"/>
    </row>
    <row r="41">
      <c r="A41" s="11" t="n">
        <v>40</v>
      </c>
      <c r="B41" s="11" t="inlineStr">
        <is>
          <t>Field device</t>
        </is>
      </c>
      <c r="C41" s="11" t="inlineStr">
        <is>
          <t>Weather logger</t>
        </is>
      </c>
      <c r="D41" s="11" t="inlineStr">
        <is>
          <t>Meteocontrol</t>
        </is>
      </c>
      <c r="E41" s="11" t="inlineStr">
        <is>
          <t>blue'Log XM</t>
        </is>
      </c>
      <c r="F41" s="11" t="inlineStr">
        <is>
          <t>-</t>
        </is>
      </c>
      <c r="G41" s="11" t="inlineStr">
        <is>
          <t>Datasheet; Modbus documentation</t>
        </is>
      </c>
      <c r="H41" s="11" t="inlineStr">
        <is>
          <t>meteocontrol.com product page</t>
        </is>
      </c>
      <c r="I41" s="11" t="n"/>
    </row>
    <row r="42">
      <c r="A42" s="11" t="n">
        <v>41</v>
      </c>
      <c r="B42" s="11" t="inlineStr">
        <is>
          <t>Field device</t>
        </is>
      </c>
      <c r="C42" s="11" t="inlineStr">
        <is>
          <t>Pyranometer</t>
        </is>
      </c>
      <c r="D42" s="11" t="inlineStr">
        <is>
          <t>Kipp &amp; Zonen</t>
        </is>
      </c>
      <c r="E42" s="11" t="inlineStr">
        <is>
          <t>SMP12-A</t>
        </is>
      </c>
      <c r="F42" s="11" t="inlineStr">
        <is>
          <t>-</t>
        </is>
      </c>
      <c r="G42" s="11" t="inlineStr">
        <is>
          <t>Datasheet</t>
        </is>
      </c>
      <c r="H42" s="11" t="inlineStr">
        <is>
          <t>kippzonen.com / otthydromet.com product page</t>
        </is>
      </c>
      <c r="I42" s="11" t="n"/>
    </row>
    <row r="43">
      <c r="A43" s="11" t="n">
        <v>42</v>
      </c>
      <c r="B43" s="11" t="inlineStr">
        <is>
          <t>Field device</t>
        </is>
      </c>
      <c r="C43" s="11" t="inlineStr">
        <is>
          <t>Wind sensor</t>
        </is>
      </c>
      <c r="D43" s="11" t="inlineStr">
        <is>
          <t>Gill Instruments</t>
        </is>
      </c>
      <c r="E43" s="11" t="inlineStr">
        <is>
          <t>WindSonic RS485</t>
        </is>
      </c>
      <c r="F43" s="11" t="inlineStr">
        <is>
          <t>-</t>
        </is>
      </c>
      <c r="G43" s="11" t="inlineStr">
        <is>
          <t>Datasheet</t>
        </is>
      </c>
      <c r="H43" s="11" t="inlineStr">
        <is>
          <t>gillinstruments.com product page</t>
        </is>
      </c>
      <c r="I43" s="11" t="n"/>
    </row>
    <row r="45">
      <c r="A45" s="13" t="inlineStr">
        <is>
          <t>Fill the Collected column as each file is saved. Name files '&lt;No.&gt;_&lt;Model&gt;.pdf' so they sort in this order inside the zip.</t>
        </is>
      </c>
    </row>
    <row r="46">
      <c r="A46" s="13" t="inlineStr">
        <is>
          <t>Network items list both Siemens SCALANCE and Moxa/Fortinet; collect only the final choice.</t>
        </is>
      </c>
    </row>
  </sheetData>
  <autoFilter ref="A1:I43"/>
  <dataValidations count="1">
    <dataValidation sqref="I2:I43" showDropDown="0" showInputMessage="0" showErrorMessage="0" allowBlank="1" type="list">
      <formula1>"Yes,No,Requested"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2026-10-15T10:06:04Z</dcterms:created>
  <dcterms:modified xmlns:dcterms="http://purl.org/dc/terms/" xmlns:xsi="http://www.w3.org/2001/XMLSchema-instance" xsi:type="dcterms:W3CDTF">2026-10-15T21:15:37Z</dcterms:modified>
  <cp:lastModifiedBy>faith elisha</cp:lastModifiedBy>
  <cp:revision>0</cp:revision>
</cp:coreProperties>
</file>