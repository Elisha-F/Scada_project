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OM by Pane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O Check" sheetId="4" state="visible" r:id="rId4"/>
    <sheet xmlns:r="http://schemas.openxmlformats.org/officeDocument/2006/relationships" name="By Others" sheetId="5" state="visible" r:id="rId5"/>
    <sheet xmlns:r="http://schemas.openxmlformats.org/officeDocument/2006/relationships" name="Serv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4263D"/>
      <sz val="14"/>
    </font>
    <font>
      <b val="1"/>
      <color rgb="0014263D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4263D"/>
      </patternFill>
    </fill>
    <fill>
      <patternFill patternType="solid">
        <fgColor rgb="00DCE6F0"/>
      </patternFill>
    </fill>
  </fills>
  <borders count="6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  <border>
      <left/>
      <right/>
      <top style="thin">
        <color rgb="00C9D0D8"/>
      </top>
      <bottom/>
      <diagonal/>
    </border>
    <border>
      <left/>
      <right style="thin">
        <color rgb="00C9D0D8"/>
      </right>
      <top style="thin">
        <color rgb="00C9D0D8"/>
      </top>
      <bottom/>
      <diagonal/>
    </border>
    <border>
      <left/>
      <right/>
      <top style="thin">
        <color rgb="00C9D0D8"/>
      </top>
      <bottom style="thin">
        <color rgb="00C9D0D8"/>
      </bottom>
      <diagonal/>
    </border>
    <border>
      <left/>
      <right style="thin">
        <color rgb="00C9D0D8"/>
      </right>
      <top style="thin">
        <color rgb="00C9D0D8"/>
      </top>
      <bottom style="thin">
        <color rgb="00C9D0D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zoomScale="9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Villa Somalia Hybrid Plant: SCADA Bill of Material</t>
        </is>
      </c>
    </row>
    <row r="2">
      <c r="A2" t="inlineStr">
        <is>
          <t>Project</t>
        </is>
      </c>
      <c r="B2" s="2" t="inlineStr">
        <is>
          <t>Solarization of Villa Somalia, Mogadishu. 1,516 kWp PV, 3,340 kWh BESS, 2 diesel generators, 11 kV switchboard, 2 office transformer stations.</t>
        </is>
      </c>
    </row>
    <row r="3">
      <c r="A3" t="inlineStr">
        <is>
          <t>Basis</t>
        </is>
      </c>
      <c r="B3" s="2" t="inlineStr">
        <is>
          <t>SICAM A8000 design: SCADA Design Report Rev 1, Device and I/O List Rev 1, drawing set BFE/PR/26/01-SCADA-001 to 005.</t>
        </is>
      </c>
    </row>
    <row r="4">
      <c r="A4" t="inlineStr">
        <is>
          <t>Status</t>
        </is>
      </c>
      <c r="B4" s="2" t="inlineStr">
        <is>
          <t>Rev A, 22 Oct 2026, for pricing and supplier quotations. Quantities fixed by the design; prices to be entered.</t>
        </is>
      </c>
    </row>
    <row r="5">
      <c r="A5" t="inlineStr">
        <is>
          <t>Architecture</t>
        </is>
      </c>
      <c r="B5" s="2" t="inlineStr">
        <is>
          <t>Two CP-8050 in hot standby; six I/O rows (24 modules, 244 hardwired signals, 27 % spare); SICAM SCC on two servers by IEC 60870-5-104; managed fibre ring of 7 switches; one firewall with VPN off by default; GPS time.</t>
        </is>
      </c>
    </row>
    <row r="6">
      <c r="A6" s="3" t="inlineStr">
        <is>
          <t>Sheets</t>
        </is>
      </c>
    </row>
    <row r="7">
      <c r="A7" t="inlineStr">
        <is>
          <t>BOM by Panel</t>
        </is>
      </c>
      <c r="B7" s="2" t="inlineStr">
        <is>
          <t>Every item grouped by the panel or area it goes into, with tag, quantity and notes. Use it to build and check the panels.</t>
        </is>
      </c>
    </row>
    <row r="8">
      <c r="A8" t="inlineStr">
        <is>
          <t>Summary</t>
        </is>
      </c>
      <c r="B8" s="2" t="inlineStr">
        <is>
          <t>The same items totalled per order line. Enter unit prices here, once; the BOM by Panel picks them up.</t>
        </is>
      </c>
    </row>
    <row r="9">
      <c r="A9" t="inlineStr">
        <is>
          <t>IO Check</t>
        </is>
      </c>
      <c r="B9" s="2" t="inlineStr">
        <is>
          <t>I/O modules per row against the hardwired signals of the I/O list, with spare capacity.</t>
        </is>
      </c>
    </row>
    <row r="10">
      <c r="A10" t="inlineStr">
        <is>
          <t>By Others</t>
        </is>
      </c>
      <c r="B10" s="2" t="inlineStr">
        <is>
          <t>Equipment that the SCADA connects to but does not supply, and what the SCADA needs from each supplier.</t>
        </is>
      </c>
    </row>
    <row r="11">
      <c r="A11" t="inlineStr">
        <is>
          <t>Services</t>
        </is>
      </c>
      <c r="B11" s="2" t="inlineStr">
        <is>
          <t>Engineering and site services, for the offer. Not materials.</t>
        </is>
      </c>
    </row>
    <row r="12">
      <c r="A12" s="3" t="inlineStr">
        <is>
          <t>Number status key</t>
        </is>
      </c>
    </row>
    <row r="13">
      <c r="A13" t="inlineStr">
        <is>
          <t>Checked</t>
        </is>
      </c>
      <c r="B13" s="2" t="inlineStr">
        <is>
          <t>Ordering number found on a supplier listing or a Siemens configuration document.</t>
        </is>
      </c>
    </row>
    <row r="14">
      <c r="A14" t="inlineStr">
        <is>
          <t>From memory - confirm</t>
        </is>
      </c>
      <c r="B14" s="2" t="inlineStr">
        <is>
          <t>Ordering code from knowledge of the maker's catalogue; not checked online. Confirm with the distributor.</t>
        </is>
      </c>
    </row>
    <row r="15">
      <c r="A15" t="inlineStr">
        <is>
          <t>To confirm with supplier</t>
        </is>
      </c>
      <c r="B15" s="2" t="inlineStr">
        <is>
          <t>Product exists but its number was not found, or it is configured or licensed by quotation. Take it from the supplier.</t>
        </is>
      </c>
    </row>
    <row r="16">
      <c r="A16" s="4" t="inlineStr">
        <is>
          <t>TBC</t>
        </is>
      </c>
      <c r="B16" s="2" t="inlineStr">
        <is>
          <t>Size, make or length not fixed yet. Shaded yellow.</t>
        </is>
      </c>
    </row>
    <row r="17">
      <c r="A17" s="3" t="inlineStr">
        <is>
          <t>Assumptions and points to confirm</t>
        </is>
      </c>
    </row>
    <row r="18">
      <c r="A18" t="inlineStr">
        <is>
          <t>1</t>
        </is>
      </c>
      <c r="B18" s="2" t="inlineStr">
        <is>
          <t>Control voltage 110 V DC for the controllers and I/O rows (selects PS-8642, CI-8532, CI-8533, DI-8112). Confirm that 110 V DC exists at the office stations, the BESS yard and the generator area. If only 230 V AC is available there, either add a 230 V AC to 110 V DC supply per panel or change those rows to the 24 V variants (CI-8531, DI-8110) fed from the SITOP.</t>
        </is>
      </c>
    </row>
    <row r="19">
      <c r="A19" t="inlineStr">
        <is>
          <t>2</t>
        </is>
      </c>
      <c r="B19" s="2" t="inlineStr">
        <is>
          <t>Siemens to confirm: CI-8533 and DO-8221 ordering numbers, the hot standby function and licence, switchover time, and how the I/O rows connect to both controllers.</t>
        </is>
      </c>
    </row>
    <row r="20">
      <c r="A20" t="inlineStr">
        <is>
          <t>3</t>
        </is>
      </c>
      <c r="B20" s="2" t="inlineStr">
        <is>
          <t>Network ordering codes (Moxa, Fortinet, Meinberg) are from memory. Siemens SCALANCE equivalents may be offered instead; keep the same port counts.</t>
        </is>
      </c>
    </row>
    <row r="21">
      <c r="A21" t="inlineStr">
        <is>
          <t>4</t>
        </is>
      </c>
      <c r="B21" s="2" t="inlineStr">
        <is>
          <t>Field switches at the stations and yard use a 5 A SITOP instead of the 20 A unit of the Device List, which is oversized for one switch and one gateway.</t>
        </is>
      </c>
    </row>
    <row r="22">
      <c r="A22" t="inlineStr">
        <is>
          <t>5</t>
        </is>
      </c>
      <c r="B22" s="2" t="inlineStr">
        <is>
          <t>Two items not in the Device List Rev 1 are added: a 19-inch server rack with console for the control room, and a small enclosure for SW-MV.</t>
        </is>
      </c>
    </row>
    <row r="23">
      <c r="A23" t="inlineStr">
        <is>
          <t>6</t>
        </is>
      </c>
      <c r="B23" s="2" t="inlineStr">
        <is>
          <t>Cable and fibre lengths are left open until the cable route drawings are available.</t>
        </is>
      </c>
    </row>
    <row r="24">
      <c r="A24" t="inlineStr">
        <is>
          <t>7</t>
        </is>
      </c>
      <c r="B24" s="2" t="inlineStr">
        <is>
          <t>Currency and prices: enter in the Summary sheet. Totals calculate automatically.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0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16" customWidth="1" min="4" max="4"/>
    <col width="22" customWidth="1" min="5" max="5"/>
    <col width="20" customWidth="1" min="6" max="6"/>
    <col width="20" customWidth="1" min="7" max="7"/>
    <col width="7" customWidth="1" min="8" max="8"/>
    <col width="6" customWidth="1" min="9" max="9"/>
    <col width="12" customWidth="1" min="10" max="10"/>
    <col width="14" customWidth="1" min="11" max="11"/>
    <col width="20" customWidth="1" min="12" max="12"/>
    <col width="52" customWidth="1" min="13" max="13"/>
    <col width="7" customWidth="1" min="14" max="14"/>
    <col hidden="1" width="4" customWidth="1" min="15" max="15"/>
  </cols>
  <sheetData>
    <row r="1">
      <c r="A1" s="1" t="inlineStr">
        <is>
          <t>Bill of material by panel – SICAM A8000 design</t>
        </is>
      </c>
    </row>
    <row r="2" ht="30" customHeight="1">
      <c r="A2" s="5" t="inlineStr">
        <is>
          <t>Item</t>
        </is>
      </c>
      <c r="B2" s="5" t="inlineStr">
        <is>
          <t>Tag / use</t>
        </is>
      </c>
      <c r="C2" s="5" t="inlineStr">
        <is>
          <t>Description</t>
        </is>
      </c>
      <c r="D2" s="5" t="inlineStr">
        <is>
          <t>Manufacturer</t>
        </is>
      </c>
      <c r="E2" s="5" t="inlineStr">
        <is>
          <t>Model</t>
        </is>
      </c>
      <c r="F2" s="5" t="inlineStr">
        <is>
          <t>Order no.</t>
        </is>
      </c>
      <c r="G2" s="5" t="inlineStr">
        <is>
          <t>Number status</t>
        </is>
      </c>
      <c r="H2" s="5" t="inlineStr">
        <is>
          <t>Qty</t>
        </is>
      </c>
      <c r="I2" s="5" t="inlineStr">
        <is>
          <t>Unit</t>
        </is>
      </c>
      <c r="J2" s="5" t="inlineStr">
        <is>
          <t>Unit price</t>
        </is>
      </c>
      <c r="K2" s="5" t="inlineStr">
        <is>
          <t>Total price</t>
        </is>
      </c>
      <c r="L2" s="5" t="inlineStr">
        <is>
          <t>Location</t>
        </is>
      </c>
      <c r="M2" s="5" t="inlineStr">
        <is>
          <t>Notes</t>
        </is>
      </c>
      <c r="N2" s="5" t="inlineStr">
        <is>
          <t>Group</t>
        </is>
      </c>
      <c r="O2" s="5" t="inlineStr">
        <is>
          <t>Key</t>
        </is>
      </c>
    </row>
    <row r="3">
      <c r="A3" s="6" t="inlineStr">
        <is>
          <t>P1</t>
        </is>
      </c>
      <c r="B3" s="6" t="inlineStr">
        <is>
          <t>SCADA cabinet, 11 kV switchroom (controller pair, I/O rows 1 and 2, core network)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/>
      <c r="N3" s="6" t="inlineStr"/>
      <c r="O3" s="6" t="inlineStr"/>
    </row>
    <row r="4">
      <c r="A4" s="9" t="inlineStr">
        <is>
          <t>P1.01</t>
        </is>
      </c>
      <c r="B4" s="9" t="inlineStr">
        <is>
          <t>CP-8050 A, CP-8050 B</t>
        </is>
      </c>
      <c r="C4" s="9" t="inlineStr">
        <is>
          <t>Processor module, SICAM A8000</t>
        </is>
      </c>
      <c r="D4" s="9" t="inlineStr">
        <is>
          <t>Siemens</t>
        </is>
      </c>
      <c r="E4" s="9" t="inlineStr">
        <is>
          <t>CP-8050</t>
        </is>
      </c>
      <c r="F4" s="9" t="inlineStr">
        <is>
          <t>6MF2805-0AA00</t>
        </is>
      </c>
      <c r="G4" s="9" t="inlineStr">
        <is>
          <t>Checked</t>
        </is>
      </c>
      <c r="H4" s="9" t="n">
        <v>2</v>
      </c>
      <c r="I4" s="9" t="inlineStr">
        <is>
          <t>pc</t>
        </is>
      </c>
      <c r="J4" s="10">
        <f>IF(Summary!$I$3="","",Summary!$I$3)</f>
        <v/>
      </c>
      <c r="K4" s="10">
        <f>IF(OR(J4="",H4=""),"",H4*J4)</f>
        <v/>
      </c>
      <c r="L4" s="9" t="inlineStr">
        <is>
          <t>11 kV switchroom</t>
        </is>
      </c>
      <c r="M4" s="9" t="inlineStr">
        <is>
          <t>Hot standby pair: A active, B standby.</t>
        </is>
      </c>
      <c r="N4" s="9" t="inlineStr">
        <is>
          <t>P1</t>
        </is>
      </c>
      <c r="O4" s="9" t="inlineStr">
        <is>
          <t>CP8050</t>
        </is>
      </c>
    </row>
    <row r="5">
      <c r="A5" s="9" t="inlineStr">
        <is>
          <t>P1.02</t>
        </is>
      </c>
      <c r="B5" s="9" t="inlineStr">
        <is>
          <t>Two per controller</t>
        </is>
      </c>
      <c r="C5" s="9" t="inlineStr">
        <is>
          <t>Power supply 110-220 V DC, 45 W</t>
        </is>
      </c>
      <c r="D5" s="9" t="inlineStr">
        <is>
          <t>Siemens</t>
        </is>
      </c>
      <c r="E5" s="9" t="inlineStr">
        <is>
          <t>PS-8642</t>
        </is>
      </c>
      <c r="F5" s="9" t="inlineStr">
        <is>
          <t>6MF2864-2AA00</t>
        </is>
      </c>
      <c r="G5" s="9" t="inlineStr">
        <is>
          <t>Checked</t>
        </is>
      </c>
      <c r="H5" s="9" t="n">
        <v>4</v>
      </c>
      <c r="I5" s="9" t="inlineStr">
        <is>
          <t>pc</t>
        </is>
      </c>
      <c r="J5" s="10">
        <f>IF(Summary!$I$4="","",Summary!$I$4)</f>
        <v/>
      </c>
      <c r="K5" s="10">
        <f>IF(OR(J5="",H5=""),"",H5*J5)</f>
        <v/>
      </c>
      <c r="L5" s="9" t="inlineStr">
        <is>
          <t>11 kV switchroom</t>
        </is>
      </c>
      <c r="M5" s="9" t="inlineStr">
        <is>
          <t>Confirm the CP-8050 accepts a second supply.</t>
        </is>
      </c>
      <c r="N5" s="9" t="inlineStr">
        <is>
          <t>P1</t>
        </is>
      </c>
      <c r="O5" s="9" t="inlineStr">
        <is>
          <t>PS8642</t>
        </is>
      </c>
    </row>
    <row r="6">
      <c r="A6" s="9" t="inlineStr">
        <is>
          <t>P1.03</t>
        </is>
      </c>
      <c r="B6" s="9" t="inlineStr">
        <is>
          <t>One per controller</t>
        </is>
      </c>
      <c r="C6" s="9" t="inlineStr">
        <is>
          <t>Ethernet interface, 5 x RJ45</t>
        </is>
      </c>
      <c r="D6" s="9" t="inlineStr">
        <is>
          <t>Siemens</t>
        </is>
      </c>
      <c r="E6" s="9" t="inlineStr">
        <is>
          <t>CI-8520</t>
        </is>
      </c>
      <c r="F6" s="9" t="inlineStr">
        <is>
          <t>6MF2852-0AA00</t>
        </is>
      </c>
      <c r="G6" s="9" t="inlineStr">
        <is>
          <t>Checked</t>
        </is>
      </c>
      <c r="H6" s="9" t="n">
        <v>2</v>
      </c>
      <c r="I6" s="9" t="inlineStr">
        <is>
          <t>pc</t>
        </is>
      </c>
      <c r="J6" s="10">
        <f>IF(Summary!$I$5="","",Summary!$I$5)</f>
        <v/>
      </c>
      <c r="K6" s="10">
        <f>IF(OR(J6="",H6=""),"",H6*J6)</f>
        <v/>
      </c>
      <c r="L6" s="9" t="inlineStr">
        <is>
          <t>11 kV switchroom</t>
        </is>
      </c>
      <c r="M6" s="9" t="inlineStr">
        <is>
          <t>Separate port per network zone; not a switch.</t>
        </is>
      </c>
      <c r="N6" s="9" t="inlineStr">
        <is>
          <t>P1</t>
        </is>
      </c>
      <c r="O6" s="9" t="inlineStr">
        <is>
          <t>CI8520</t>
        </is>
      </c>
    </row>
    <row r="7">
      <c r="A7" s="9" t="inlineStr">
        <is>
          <t>P1.04</t>
        </is>
      </c>
      <c r="B7" s="9" t="inlineStr">
        <is>
          <t>One per controller</t>
        </is>
      </c>
      <c r="C7" s="9" t="inlineStr">
        <is>
          <t>SICAM flash card, 2 GB</t>
        </is>
      </c>
      <c r="D7" s="9" t="inlineStr">
        <is>
          <t>Siemens</t>
        </is>
      </c>
      <c r="E7" s="9" t="inlineStr">
        <is>
          <t>SICAM flash card</t>
        </is>
      </c>
      <c r="F7" s="9" t="inlineStr">
        <is>
          <t>6MF1213-1GA05-0AA0</t>
        </is>
      </c>
      <c r="G7" s="9" t="inlineStr">
        <is>
          <t>Checked</t>
        </is>
      </c>
      <c r="H7" s="9" t="n">
        <v>2</v>
      </c>
      <c r="I7" s="9" t="inlineStr">
        <is>
          <t>pc</t>
        </is>
      </c>
      <c r="J7" s="10">
        <f>IF(Summary!$I$6="","",Summary!$I$6)</f>
        <v/>
      </c>
      <c r="K7" s="10">
        <f>IF(OR(J7="",H7=""),"",H7*J7)</f>
        <v/>
      </c>
      <c r="L7" s="9" t="inlineStr">
        <is>
          <t>11 kV switchroom</t>
        </is>
      </c>
      <c r="M7" s="9" t="inlineStr"/>
      <c r="N7" s="9" t="inlineStr">
        <is>
          <t>P1</t>
        </is>
      </c>
      <c r="O7" s="9" t="inlineStr">
        <is>
          <t>FLASH</t>
        </is>
      </c>
    </row>
    <row r="8">
      <c r="A8" s="9" t="inlineStr">
        <is>
          <t>P1.05</t>
        </is>
      </c>
      <c r="B8" s="9" t="inlineStr">
        <is>
          <t>One set per controller</t>
        </is>
      </c>
      <c r="C8" s="9" t="inlineStr">
        <is>
          <t>Protocol licences for one CP-8050: IEC 60870-5-104 server, Modbus TCP client, IEC 61850 client, hot standby function</t>
        </is>
      </c>
      <c r="D8" s="9" t="inlineStr">
        <is>
          <t>Siemens</t>
        </is>
      </c>
      <c r="E8" s="9" t="inlineStr">
        <is>
          <t>CP-8050 licences</t>
        </is>
      </c>
      <c r="F8" s="9" t="inlineStr">
        <is>
          <t>By quotation</t>
        </is>
      </c>
      <c r="G8" s="9" t="inlineStr">
        <is>
          <t>To confirm with supplier</t>
        </is>
      </c>
      <c r="H8" s="9" t="n">
        <v>2</v>
      </c>
      <c r="I8" s="9" t="inlineStr">
        <is>
          <t>set</t>
        </is>
      </c>
      <c r="J8" s="10">
        <f>IF(Summary!$I$7="","",Summary!$I$7)</f>
        <v/>
      </c>
      <c r="K8" s="10">
        <f>IF(OR(J8="",H8=""),"",H8*J8)</f>
        <v/>
      </c>
      <c r="L8" s="9" t="inlineStr">
        <is>
          <t>11 kV switchroom</t>
        </is>
      </c>
      <c r="M8" s="9" t="inlineStr">
        <is>
          <t>Including the hot standby function if licensed separately (open point 12).</t>
        </is>
      </c>
      <c r="N8" s="9" t="inlineStr">
        <is>
          <t>P1</t>
        </is>
      </c>
      <c r="O8" s="9" t="inlineStr">
        <is>
          <t>LIC</t>
        </is>
      </c>
    </row>
    <row r="9">
      <c r="A9" s="9" t="inlineStr">
        <is>
          <t>P1.06</t>
        </is>
      </c>
      <c r="B9" s="9" t="inlineStr">
        <is>
          <t>Row 1 interface</t>
        </is>
      </c>
      <c r="C9" s="9" t="inlineStr">
        <is>
          <t>I/O remote interface, electrical, 110-220 V DC</t>
        </is>
      </c>
      <c r="D9" s="9" t="inlineStr">
        <is>
          <t>Siemens</t>
        </is>
      </c>
      <c r="E9" s="9" t="inlineStr">
        <is>
          <t>CI-8532</t>
        </is>
      </c>
      <c r="F9" s="9" t="inlineStr">
        <is>
          <t>6MF2853-2AA00</t>
        </is>
      </c>
      <c r="G9" s="9" t="inlineStr">
        <is>
          <t>Checked</t>
        </is>
      </c>
      <c r="H9" s="9" t="n">
        <v>1</v>
      </c>
      <c r="I9" s="9" t="inlineStr">
        <is>
          <t>pc</t>
        </is>
      </c>
      <c r="J9" s="10">
        <f>IF(Summary!$I$8="","",Summary!$I$8)</f>
        <v/>
      </c>
      <c r="K9" s="10">
        <f>IF(OR(J9="",H9=""),"",H9*J9)</f>
        <v/>
      </c>
      <c r="L9" s="9" t="inlineStr">
        <is>
          <t>11 kV switchroom</t>
        </is>
      </c>
      <c r="M9" s="9" t="inlineStr">
        <is>
          <t>Row 1 on its own interface so both controllers reach it.</t>
        </is>
      </c>
      <c r="N9" s="9" t="inlineStr">
        <is>
          <t>P1</t>
        </is>
      </c>
      <c r="O9" s="9" t="inlineStr">
        <is>
          <t>CI8532</t>
        </is>
      </c>
    </row>
    <row r="10">
      <c r="A10" s="9" t="inlineStr">
        <is>
          <t>P1.07</t>
        </is>
      </c>
      <c r="B10" s="9" t="inlineStr">
        <is>
          <t>R1-DI01 to R1-DI05</t>
        </is>
      </c>
      <c r="C10" s="9" t="inlineStr">
        <is>
          <t>Digital input, 2 x 8 inputs, 110 V DC</t>
        </is>
      </c>
      <c r="D10" s="9" t="inlineStr">
        <is>
          <t>Siemens</t>
        </is>
      </c>
      <c r="E10" s="9" t="inlineStr">
        <is>
          <t>DI-8112</t>
        </is>
      </c>
      <c r="F10" s="9" t="inlineStr">
        <is>
          <t>6MF2811-2AA00</t>
        </is>
      </c>
      <c r="G10" s="9" t="inlineStr">
        <is>
          <t>Checked</t>
        </is>
      </c>
      <c r="H10" s="9" t="n">
        <v>5</v>
      </c>
      <c r="I10" s="9" t="inlineStr">
        <is>
          <t>pc</t>
        </is>
      </c>
      <c r="J10" s="10">
        <f>IF(Summary!$I$9="","",Summary!$I$9)</f>
        <v/>
      </c>
      <c r="K10" s="10">
        <f>IF(OR(J10="",H10=""),"",H10*J10)</f>
        <v/>
      </c>
      <c r="L10" s="9" t="inlineStr">
        <is>
          <t>11 kV switchroom</t>
        </is>
      </c>
      <c r="M10" s="9" t="inlineStr">
        <is>
          <t>11 kV panels AH1 to AH8.</t>
        </is>
      </c>
      <c r="N10" s="9" t="inlineStr">
        <is>
          <t>P1</t>
        </is>
      </c>
      <c r="O10" s="9" t="inlineStr">
        <is>
          <t>DI8112</t>
        </is>
      </c>
    </row>
    <row r="11">
      <c r="A11" s="9" t="inlineStr">
        <is>
          <t>P1.08</t>
        </is>
      </c>
      <c r="B11" s="9" t="inlineStr">
        <is>
          <t>R1-CO01, R1-CO02</t>
        </is>
      </c>
      <c r="C11" s="9" t="inlineStr">
        <is>
          <t>Secured command output, 12 outputs, 1-out-of-n check</t>
        </is>
      </c>
      <c r="D11" s="9" t="inlineStr">
        <is>
          <t>Siemens</t>
        </is>
      </c>
      <c r="E11" s="9" t="inlineStr">
        <is>
          <t>DO-8221</t>
        </is>
      </c>
      <c r="F11" s="9" t="inlineStr">
        <is>
          <t>To confirm</t>
        </is>
      </c>
      <c r="G11" s="9" t="inlineStr">
        <is>
          <t>To confirm with supplier</t>
        </is>
      </c>
      <c r="H11" s="9" t="n">
        <v>2</v>
      </c>
      <c r="I11" s="9" t="inlineStr">
        <is>
          <t>pc</t>
        </is>
      </c>
      <c r="J11" s="10">
        <f>IF(Summary!$I$10="","",Summary!$I$10)</f>
        <v/>
      </c>
      <c r="K11" s="10">
        <f>IF(OR(J11="",H11=""),"",H11*J11)</f>
        <v/>
      </c>
      <c r="L11" s="9" t="inlineStr">
        <is>
          <t>11 kV switchroom</t>
        </is>
      </c>
      <c r="M11" s="9" t="inlineStr">
        <is>
          <t>Breaker open and close AH1 to AH7.</t>
        </is>
      </c>
      <c r="N11" s="9" t="inlineStr">
        <is>
          <t>P1</t>
        </is>
      </c>
      <c r="O11" s="9" t="inlineStr">
        <is>
          <t>DO8221</t>
        </is>
      </c>
    </row>
    <row r="12">
      <c r="A12" s="9" t="inlineStr">
        <is>
          <t>P1.09</t>
        </is>
      </c>
      <c r="B12" s="9" t="inlineStr">
        <is>
          <t>R1-DO01</t>
        </is>
      </c>
      <c r="C12" s="9" t="inlineStr">
        <is>
          <t>Digital output, 8 relays, 24-220 V DC / 230 V AC</t>
        </is>
      </c>
      <c r="D12" s="9" t="inlineStr">
        <is>
          <t>Siemens</t>
        </is>
      </c>
      <c r="E12" s="9" t="inlineStr">
        <is>
          <t>DO-8212</t>
        </is>
      </c>
      <c r="F12" s="9" t="inlineStr">
        <is>
          <t>6MF2821-2AA00</t>
        </is>
      </c>
      <c r="G12" s="9" t="inlineStr">
        <is>
          <t>Checked</t>
        </is>
      </c>
      <c r="H12" s="9" t="n">
        <v>1</v>
      </c>
      <c r="I12" s="9" t="inlineStr">
        <is>
          <t>pc</t>
        </is>
      </c>
      <c r="J12" s="10">
        <f>IF(Summary!$I$11="","",Summary!$I$11)</f>
        <v/>
      </c>
      <c r="K12" s="10">
        <f>IF(OR(J12="",H12=""),"",H12*J12)</f>
        <v/>
      </c>
      <c r="L12" s="9" t="inlineStr">
        <is>
          <t>11 kV switchroom</t>
        </is>
      </c>
      <c r="M12" s="9" t="inlineStr">
        <is>
          <t>Alarm beacon, controller healthy.</t>
        </is>
      </c>
      <c r="N12" s="9" t="inlineStr">
        <is>
          <t>P1</t>
        </is>
      </c>
      <c r="O12" s="9" t="inlineStr">
        <is>
          <t>DO8212</t>
        </is>
      </c>
    </row>
    <row r="13">
      <c r="A13" s="9" t="inlineStr">
        <is>
          <t>P1.10</t>
        </is>
      </c>
      <c r="B13" s="9" t="inlineStr">
        <is>
          <t>Row 2 interface</t>
        </is>
      </c>
      <c r="C13" s="9" t="inlineStr">
        <is>
          <t>I/O remote interface, electrical, 110-220 V DC</t>
        </is>
      </c>
      <c r="D13" s="9" t="inlineStr">
        <is>
          <t>Siemens</t>
        </is>
      </c>
      <c r="E13" s="9" t="inlineStr">
        <is>
          <t>CI-8532</t>
        </is>
      </c>
      <c r="F13" s="9" t="inlineStr">
        <is>
          <t>6MF2853-2AA00</t>
        </is>
      </c>
      <c r="G13" s="9" t="inlineStr">
        <is>
          <t>Checked</t>
        </is>
      </c>
      <c r="H13" s="9" t="n">
        <v>1</v>
      </c>
      <c r="I13" s="9" t="inlineStr">
        <is>
          <t>pc</t>
        </is>
      </c>
      <c r="J13" s="10">
        <f>IF(Summary!$I$8="","",Summary!$I$8)</f>
        <v/>
      </c>
      <c r="K13" s="10">
        <f>IF(OR(J13="",H13=""),"",H13*J13)</f>
        <v/>
      </c>
      <c r="L13" s="9" t="inlineStr">
        <is>
          <t>11 kV switchroom</t>
        </is>
      </c>
      <c r="M13" s="9" t="inlineStr"/>
      <c r="N13" s="9" t="inlineStr">
        <is>
          <t>P1</t>
        </is>
      </c>
      <c r="O13" s="9" t="inlineStr">
        <is>
          <t>CI8532</t>
        </is>
      </c>
    </row>
    <row r="14">
      <c r="A14" s="9" t="inlineStr">
        <is>
          <t>P1.11</t>
        </is>
      </c>
      <c r="B14" s="9" t="inlineStr">
        <is>
          <t>R2-DI01, R2-DI02</t>
        </is>
      </c>
      <c r="C14" s="9" t="inlineStr">
        <is>
          <t>Digital input, 2 x 8 inputs, 110 V DC</t>
        </is>
      </c>
      <c r="D14" s="9" t="inlineStr">
        <is>
          <t>Siemens</t>
        </is>
      </c>
      <c r="E14" s="9" t="inlineStr">
        <is>
          <t>DI-8112</t>
        </is>
      </c>
      <c r="F14" s="9" t="inlineStr">
        <is>
          <t>6MF2811-2AA00</t>
        </is>
      </c>
      <c r="G14" s="9" t="inlineStr">
        <is>
          <t>Checked</t>
        </is>
      </c>
      <c r="H14" s="9" t="n">
        <v>2</v>
      </c>
      <c r="I14" s="9" t="inlineStr">
        <is>
          <t>pc</t>
        </is>
      </c>
      <c r="J14" s="10">
        <f>IF(Summary!$I$9="","",Summary!$I$9)</f>
        <v/>
      </c>
      <c r="K14" s="10">
        <f>IF(OR(J14="",H14=""),"",H14*J14)</f>
        <v/>
      </c>
      <c r="L14" s="9" t="inlineStr">
        <is>
          <t>11 kV switchroom</t>
        </is>
      </c>
      <c r="M14" s="9" t="inlineStr">
        <is>
          <t>Auxiliary TX, LV board, UPS, DC, E-stop, doors.</t>
        </is>
      </c>
      <c r="N14" s="9" t="inlineStr">
        <is>
          <t>P1</t>
        </is>
      </c>
      <c r="O14" s="9" t="inlineStr">
        <is>
          <t>DI8112</t>
        </is>
      </c>
    </row>
    <row r="15">
      <c r="A15" s="9" t="inlineStr">
        <is>
          <t>P1.12</t>
        </is>
      </c>
      <c r="B15" s="9" t="inlineStr">
        <is>
          <t>R2-AI01</t>
        </is>
      </c>
      <c r="C15" s="9" t="inlineStr">
        <is>
          <t>Analogue input, 4 x 4-20 mA</t>
        </is>
      </c>
      <c r="D15" s="9" t="inlineStr">
        <is>
          <t>Siemens</t>
        </is>
      </c>
      <c r="E15" s="9" t="inlineStr">
        <is>
          <t>AI-8320</t>
        </is>
      </c>
      <c r="F15" s="9" t="inlineStr">
        <is>
          <t>6MF2832-0AA00</t>
        </is>
      </c>
      <c r="G15" s="9" t="inlineStr">
        <is>
          <t>Checked</t>
        </is>
      </c>
      <c r="H15" s="9" t="n">
        <v>1</v>
      </c>
      <c r="I15" s="9" t="inlineStr">
        <is>
          <t>pc</t>
        </is>
      </c>
      <c r="J15" s="10">
        <f>IF(Summary!$I$12="","",Summary!$I$12)</f>
        <v/>
      </c>
      <c r="K15" s="10">
        <f>IF(OR(J15="",H15=""),"",H15*J15)</f>
        <v/>
      </c>
      <c r="L15" s="9" t="inlineStr">
        <is>
          <t>11 kV switchroom</t>
        </is>
      </c>
      <c r="M15" s="9" t="inlineStr">
        <is>
          <t>DC bus voltages.</t>
        </is>
      </c>
      <c r="N15" s="9" t="inlineStr">
        <is>
          <t>P1</t>
        </is>
      </c>
      <c r="O15" s="9" t="inlineStr">
        <is>
          <t>AI8320</t>
        </is>
      </c>
    </row>
    <row r="16">
      <c r="A16" s="9" t="inlineStr">
        <is>
          <t>P1.13</t>
        </is>
      </c>
      <c r="B16" s="9" t="inlineStr">
        <is>
          <t>SW-CORE-A, SW-CORE-B</t>
        </is>
      </c>
      <c r="C16" s="9" t="inlineStr">
        <is>
          <t>Managed core switch, 8 x RJ45 + 4 x gigabit SFP</t>
        </is>
      </c>
      <c r="D16" s="9" t="inlineStr">
        <is>
          <t>Moxa</t>
        </is>
      </c>
      <c r="E16" s="9" t="inlineStr">
        <is>
          <t>EDS-G512E</t>
        </is>
      </c>
      <c r="F16" s="9" t="inlineStr">
        <is>
          <t>EDS-G512E-4GSFP</t>
        </is>
      </c>
      <c r="G16" s="9" t="inlineStr">
        <is>
          <t>From memory - confirm</t>
        </is>
      </c>
      <c r="H16" s="9" t="n">
        <v>2</v>
      </c>
      <c r="I16" s="9" t="inlineStr">
        <is>
          <t>pc</t>
        </is>
      </c>
      <c r="J16" s="10">
        <f>IF(Summary!$I$13="","",Summary!$I$13)</f>
        <v/>
      </c>
      <c r="K16" s="10">
        <f>IF(OR(J16="",H16=""),"",H16*J16)</f>
        <v/>
      </c>
      <c r="L16" s="9" t="inlineStr">
        <is>
          <t>11 kV switchroom</t>
        </is>
      </c>
      <c r="M16" s="9" t="inlineStr"/>
      <c r="N16" s="9" t="inlineStr">
        <is>
          <t>P1</t>
        </is>
      </c>
      <c r="O16" s="9" t="inlineStr">
        <is>
          <t>CORE</t>
        </is>
      </c>
    </row>
    <row r="17">
      <c r="A17" s="9" t="inlineStr">
        <is>
          <t>P1.14</t>
        </is>
      </c>
      <c r="B17" s="9" t="inlineStr">
        <is>
          <t>Two per core switch</t>
        </is>
      </c>
      <c r="C17" s="9" t="inlineStr">
        <is>
          <t>SFP transceiver, gigabit, single-mode, LC</t>
        </is>
      </c>
      <c r="D17" s="9" t="inlineStr">
        <is>
          <t>Moxa</t>
        </is>
      </c>
      <c r="E17" s="9" t="inlineStr">
        <is>
          <t>SFP-1GLXLC</t>
        </is>
      </c>
      <c r="F17" s="9" t="inlineStr">
        <is>
          <t>SFP-1GLXLC</t>
        </is>
      </c>
      <c r="G17" s="9" t="inlineStr">
        <is>
          <t>From memory - confirm</t>
        </is>
      </c>
      <c r="H17" s="9" t="n">
        <v>4</v>
      </c>
      <c r="I17" s="9" t="inlineStr">
        <is>
          <t>pc</t>
        </is>
      </c>
      <c r="J17" s="10">
        <f>IF(Summary!$I$14="","",Summary!$I$14)</f>
        <v/>
      </c>
      <c r="K17" s="10">
        <f>IF(OR(J17="",H17=""),"",H17*J17)</f>
        <v/>
      </c>
      <c r="L17" s="9" t="inlineStr">
        <is>
          <t>11 kV switchroom</t>
        </is>
      </c>
      <c r="M17" s="9" t="inlineStr">
        <is>
          <t>Ring ports and the core A-B link.</t>
        </is>
      </c>
      <c r="N17" s="9" t="inlineStr">
        <is>
          <t>P1</t>
        </is>
      </c>
      <c r="O17" s="9" t="inlineStr">
        <is>
          <t>SFP</t>
        </is>
      </c>
    </row>
    <row r="18">
      <c r="A18" s="9" t="inlineStr">
        <is>
          <t>P1.15</t>
        </is>
      </c>
      <c r="B18" s="9" t="inlineStr">
        <is>
          <t>FW-01</t>
        </is>
      </c>
      <c r="C18" s="9" t="inlineStr">
        <is>
          <t>Rugged firewall with VPN</t>
        </is>
      </c>
      <c r="D18" s="9" t="inlineStr">
        <is>
          <t>Fortinet</t>
        </is>
      </c>
      <c r="E18" s="9" t="inlineStr">
        <is>
          <t>FortiGate Rugged 60F</t>
        </is>
      </c>
      <c r="F18" s="9" t="inlineStr">
        <is>
          <t>FGR-60F</t>
        </is>
      </c>
      <c r="G18" s="9" t="inlineStr">
        <is>
          <t>From memory - confirm</t>
        </is>
      </c>
      <c r="H18" s="9" t="n">
        <v>1</v>
      </c>
      <c r="I18" s="9" t="inlineStr">
        <is>
          <t>pc</t>
        </is>
      </c>
      <c r="J18" s="10">
        <f>IF(Summary!$I$15="","",Summary!$I$15)</f>
        <v/>
      </c>
      <c r="K18" s="10">
        <f>IF(OR(J18="",H18=""),"",H18*J18)</f>
        <v/>
      </c>
      <c r="L18" s="9" t="inlineStr">
        <is>
          <t>11 kV switchroom</t>
        </is>
      </c>
      <c r="M18" s="9" t="inlineStr">
        <is>
          <t>Second unit optional.</t>
        </is>
      </c>
      <c r="N18" s="9" t="inlineStr">
        <is>
          <t>P1</t>
        </is>
      </c>
      <c r="O18" s="9" t="inlineStr">
        <is>
          <t>FW</t>
        </is>
      </c>
    </row>
    <row r="19">
      <c r="A19" s="9" t="inlineStr">
        <is>
          <t>P1.16</t>
        </is>
      </c>
      <c r="B19" s="9" t="inlineStr">
        <is>
          <t>GPS-01</t>
        </is>
      </c>
      <c r="C19" s="9" t="inlineStr">
        <is>
          <t>GPS time server with antenna, cable and surge protector</t>
        </is>
      </c>
      <c r="D19" s="9" t="inlineStr">
        <is>
          <t>Meinberg</t>
        </is>
      </c>
      <c r="E19" s="9" t="inlineStr">
        <is>
          <t>LANTIME M300</t>
        </is>
      </c>
      <c r="F19" s="9" t="inlineStr">
        <is>
          <t>M300/GPS</t>
        </is>
      </c>
      <c r="G19" s="9" t="inlineStr">
        <is>
          <t>From memory - confirm</t>
        </is>
      </c>
      <c r="H19" s="9" t="n">
        <v>1</v>
      </c>
      <c r="I19" s="9" t="inlineStr">
        <is>
          <t>set</t>
        </is>
      </c>
      <c r="J19" s="10">
        <f>IF(Summary!$I$16="","",Summary!$I$16)</f>
        <v/>
      </c>
      <c r="K19" s="10">
        <f>IF(OR(J19="",H19=""),"",H19*J19)</f>
        <v/>
      </c>
      <c r="L19" s="9" t="inlineStr">
        <is>
          <t>11 kV switchroom</t>
        </is>
      </c>
      <c r="M19" s="9" t="inlineStr">
        <is>
          <t>Antenna on the switchroom roof; cable length to suit.</t>
        </is>
      </c>
      <c r="N19" s="9" t="inlineStr">
        <is>
          <t>P1</t>
        </is>
      </c>
      <c r="O19" s="9" t="inlineStr">
        <is>
          <t>GPS</t>
        </is>
      </c>
    </row>
    <row r="20">
      <c r="A20" s="9" t="inlineStr">
        <is>
          <t>P1.17</t>
        </is>
      </c>
      <c r="B20" s="9" t="inlineStr">
        <is>
          <t>Cabinet 24 V</t>
        </is>
      </c>
      <c r="C20" s="9" t="inlineStr">
        <is>
          <t>24 V DC power supply 20 A, input 85-275 V AC / 88-350 V DC</t>
        </is>
      </c>
      <c r="D20" s="9" t="inlineStr">
        <is>
          <t>Siemens</t>
        </is>
      </c>
      <c r="E20" s="9" t="inlineStr">
        <is>
          <t>SITOP PSU8200 24 V/20 A</t>
        </is>
      </c>
      <c r="F20" s="9" t="inlineStr">
        <is>
          <t>6EP1336-3BA10</t>
        </is>
      </c>
      <c r="G20" s="9" t="inlineStr">
        <is>
          <t>Checked</t>
        </is>
      </c>
      <c r="H20" s="9" t="n">
        <v>1</v>
      </c>
      <c r="I20" s="9" t="inlineStr">
        <is>
          <t>pc</t>
        </is>
      </c>
      <c r="J20" s="10">
        <f>IF(Summary!$I$17="","",Summary!$I$17)</f>
        <v/>
      </c>
      <c r="K20" s="10">
        <f>IF(OR(J20="",H20=""),"",H20*J20)</f>
        <v/>
      </c>
      <c r="L20" s="9" t="inlineStr">
        <is>
          <t>11 kV switchroom</t>
        </is>
      </c>
      <c r="M20" s="9" t="inlineStr">
        <is>
          <t>Switches, firewall, gateway supply. Runs from the 110 V DC station battery.</t>
        </is>
      </c>
      <c r="N20" s="9" t="inlineStr">
        <is>
          <t>P1</t>
        </is>
      </c>
      <c r="O20" s="9" t="inlineStr">
        <is>
          <t>PSU20</t>
        </is>
      </c>
    </row>
    <row r="21">
      <c r="A21" s="9" t="inlineStr">
        <is>
          <t>P1.18</t>
        </is>
      </c>
      <c r="B21" s="9" t="inlineStr">
        <is>
          <t>PM5560-AUX</t>
        </is>
      </c>
      <c r="C21" s="9" t="inlineStr">
        <is>
          <t>Power meter with Ethernet, Modbus TCP</t>
        </is>
      </c>
      <c r="D21" s="9" t="inlineStr">
        <is>
          <t>Schneider Electric</t>
        </is>
      </c>
      <c r="E21" s="9" t="inlineStr">
        <is>
          <t>PowerLogic PM5560</t>
        </is>
      </c>
      <c r="F21" s="9" t="inlineStr">
        <is>
          <t>METSEPM5560</t>
        </is>
      </c>
      <c r="G21" s="9" t="inlineStr">
        <is>
          <t>From memory - confirm</t>
        </is>
      </c>
      <c r="H21" s="9" t="n">
        <v>1</v>
      </c>
      <c r="I21" s="9" t="inlineStr">
        <is>
          <t>pc</t>
        </is>
      </c>
      <c r="J21" s="10">
        <f>IF(Summary!$I$18="","",Summary!$I$18)</f>
        <v/>
      </c>
      <c r="K21" s="10">
        <f>IF(OR(J21="",H21=""),"",H21*J21)</f>
        <v/>
      </c>
      <c r="L21" s="9" t="inlineStr">
        <is>
          <t>11 kV switchroom</t>
        </is>
      </c>
      <c r="M21" s="9" t="inlineStr">
        <is>
          <t>Mounted in the auxiliary LV board.</t>
        </is>
      </c>
      <c r="N21" s="9" t="inlineStr">
        <is>
          <t>P1</t>
        </is>
      </c>
      <c r="O21" s="9" t="inlineStr">
        <is>
          <t>PM5560</t>
        </is>
      </c>
    </row>
    <row r="22">
      <c r="A22" s="9" t="inlineStr">
        <is>
          <t>P1.19</t>
        </is>
      </c>
      <c r="B22" s="9" t="inlineStr">
        <is>
          <t>Fibre termination</t>
        </is>
      </c>
      <c r="C22" s="9" t="inlineStr">
        <is>
          <t>Fibre patch panel, 24 x LC, rack or DIN</t>
        </is>
      </c>
      <c r="D22" s="9" t="inlineStr">
        <is>
          <t>To suit</t>
        </is>
      </c>
      <c r="E22" s="9" t="inlineStr">
        <is>
          <t>-</t>
        </is>
      </c>
      <c r="F22" s="9" t="inlineStr">
        <is>
          <t>-</t>
        </is>
      </c>
      <c r="G22" s="11" t="inlineStr">
        <is>
          <t>TBC</t>
        </is>
      </c>
      <c r="H22" s="9" t="n">
        <v>1</v>
      </c>
      <c r="I22" s="9" t="inlineStr">
        <is>
          <t>pc</t>
        </is>
      </c>
      <c r="J22" s="10">
        <f>IF(Summary!$I$19="","",Summary!$I$19)</f>
        <v/>
      </c>
      <c r="K22" s="10">
        <f>IF(OR(J22="",H22=""),"",H22*J22)</f>
        <v/>
      </c>
      <c r="L22" s="9" t="inlineStr">
        <is>
          <t>11 kV switchroom</t>
        </is>
      </c>
      <c r="M22" s="9" t="inlineStr"/>
      <c r="N22" s="9" t="inlineStr">
        <is>
          <t>P1</t>
        </is>
      </c>
      <c r="O22" s="9" t="inlineStr">
        <is>
          <t>FPP</t>
        </is>
      </c>
    </row>
    <row r="23">
      <c r="A23" s="9" t="inlineStr">
        <is>
          <t>P1.20</t>
        </is>
      </c>
      <c r="B23" s="9" t="inlineStr">
        <is>
          <t>SCADA cabinet</t>
        </is>
      </c>
      <c r="C23" s="9" t="inlineStr">
        <is>
          <t>SCADA cabinet 800 x 2000 x 800 mm, with plinth</t>
        </is>
      </c>
      <c r="D23" s="9" t="inlineStr">
        <is>
          <t>Rittal</t>
        </is>
      </c>
      <c r="E23" s="9" t="inlineStr">
        <is>
          <t>VX25</t>
        </is>
      </c>
      <c r="F23" s="9" t="inlineStr">
        <is>
          <t>8808.000</t>
        </is>
      </c>
      <c r="G23" s="9" t="inlineStr">
        <is>
          <t>From memory - confirm</t>
        </is>
      </c>
      <c r="H23" s="9" t="n">
        <v>1</v>
      </c>
      <c r="I23" s="9" t="inlineStr">
        <is>
          <t>pc</t>
        </is>
      </c>
      <c r="J23" s="10">
        <f>IF(Summary!$I$20="","",Summary!$I$20)</f>
        <v/>
      </c>
      <c r="K23" s="10">
        <f>IF(OR(J23="",H23=""),"",H23*J23)</f>
        <v/>
      </c>
      <c r="L23" s="9" t="inlineStr">
        <is>
          <t>11 kV switchroom</t>
        </is>
      </c>
      <c r="M23" s="9" t="inlineStr">
        <is>
          <t>Door contact wired to row 2.</t>
        </is>
      </c>
      <c r="N23" s="9" t="inlineStr">
        <is>
          <t>P1</t>
        </is>
      </c>
      <c r="O23" s="9" t="inlineStr">
        <is>
          <t>VX25</t>
        </is>
      </c>
    </row>
    <row r="24">
      <c r="A24" s="9" t="inlineStr">
        <is>
          <t>P1.21</t>
        </is>
      </c>
      <c r="B24" s="9" t="inlineStr">
        <is>
          <t>SCADA cabinet</t>
        </is>
      </c>
      <c r="C24" s="9" t="inlineStr">
        <is>
          <t>Cabinet accessories: MCBs, terminals, surge protection, fans and thermostat, lighting, door switch, labels, wiring</t>
        </is>
      </c>
      <c r="D24" s="9" t="inlineStr">
        <is>
          <t>To suit</t>
        </is>
      </c>
      <c r="E24" s="9" t="inlineStr">
        <is>
          <t>-</t>
        </is>
      </c>
      <c r="F24" s="9" t="inlineStr">
        <is>
          <t>-</t>
        </is>
      </c>
      <c r="G24" s="11" t="inlineStr">
        <is>
          <t>TBC</t>
        </is>
      </c>
      <c r="H24" s="9" t="n">
        <v>1</v>
      </c>
      <c r="I24" s="9" t="inlineStr">
        <is>
          <t>lot</t>
        </is>
      </c>
      <c r="J24" s="10">
        <f>IF(Summary!$I$21="","",Summary!$I$21)</f>
        <v/>
      </c>
      <c r="K24" s="10">
        <f>IF(OR(J24="",H24=""),"",H24*J24)</f>
        <v/>
      </c>
      <c r="L24" s="9" t="inlineStr">
        <is>
          <t>11 kV switchroom</t>
        </is>
      </c>
      <c r="M24" s="9" t="inlineStr"/>
      <c r="N24" s="9" t="inlineStr">
        <is>
          <t>P1</t>
        </is>
      </c>
      <c r="O24" s="9" t="inlineStr">
        <is>
          <t>ACC_C</t>
        </is>
      </c>
    </row>
    <row r="25">
      <c r="A25" s="12" t="inlineStr"/>
      <c r="B25" s="12" t="inlineStr">
        <is>
          <t>Subtotal P1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3">
        <f>SUM(K4:K24)</f>
        <v/>
      </c>
      <c r="L25" s="12" t="inlineStr"/>
      <c r="M25" s="12" t="inlineStr"/>
      <c r="N25" s="12" t="inlineStr"/>
      <c r="O25" s="12" t="inlineStr"/>
    </row>
    <row r="27">
      <c r="A27" s="6" t="inlineStr">
        <is>
          <t>P2</t>
        </is>
      </c>
      <c r="B27" s="6" t="inlineStr">
        <is>
          <t>Control room (SCADA servers, operator and engineering stations)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8" t="n"/>
      <c r="N27" s="6" t="inlineStr"/>
      <c r="O27" s="6" t="inlineStr"/>
    </row>
    <row r="28">
      <c r="A28" s="9" t="inlineStr">
        <is>
          <t>P2.01</t>
        </is>
      </c>
      <c r="B28" s="9" t="inlineStr">
        <is>
          <t>SRV-A, SRV-B</t>
        </is>
      </c>
      <c r="C28" s="9" t="inlineStr">
        <is>
          <t>SCADA server, rack industrial PC, redundant power supplies and disks</t>
        </is>
      </c>
      <c r="D28" s="9" t="inlineStr">
        <is>
          <t>Siemens</t>
        </is>
      </c>
      <c r="E28" s="9" t="inlineStr">
        <is>
          <t>SIMATIC IPC647E</t>
        </is>
      </c>
      <c r="F28" s="9" t="inlineStr">
        <is>
          <t>Configured to order</t>
        </is>
      </c>
      <c r="G28" s="9" t="inlineStr">
        <is>
          <t>To confirm with supplier</t>
        </is>
      </c>
      <c r="H28" s="9" t="n">
        <v>2</v>
      </c>
      <c r="I28" s="9" t="inlineStr">
        <is>
          <t>pc</t>
        </is>
      </c>
      <c r="J28" s="10">
        <f>IF(Summary!$I$22="","",Summary!$I$22)</f>
        <v/>
      </c>
      <c r="K28" s="10">
        <f>IF(OR(J28="",H28=""),"",H28*J28)</f>
        <v/>
      </c>
      <c r="L28" s="9" t="inlineStr">
        <is>
          <t>Control room</t>
        </is>
      </c>
      <c r="M28" s="9" t="inlineStr">
        <is>
          <t>Server A active, B hot standby.</t>
        </is>
      </c>
      <c r="N28" s="9" t="inlineStr">
        <is>
          <t>P2</t>
        </is>
      </c>
      <c r="O28" s="9" t="inlineStr">
        <is>
          <t>IPC</t>
        </is>
      </c>
    </row>
    <row r="29">
      <c r="A29" s="9" t="inlineStr">
        <is>
          <t>P2.02</t>
        </is>
      </c>
      <c r="B29" s="9" t="inlineStr">
        <is>
          <t>Server rack</t>
        </is>
      </c>
      <c r="C29" s="9" t="inlineStr">
        <is>
          <t>19-inch rack 24U with rack console (monitor, keyboard, KVM)</t>
        </is>
      </c>
      <c r="D29" s="9" t="inlineStr">
        <is>
          <t>To suit</t>
        </is>
      </c>
      <c r="E29" s="9" t="inlineStr">
        <is>
          <t>-</t>
        </is>
      </c>
      <c r="F29" s="9" t="inlineStr">
        <is>
          <t>-</t>
        </is>
      </c>
      <c r="G29" s="11" t="inlineStr">
        <is>
          <t>TBC</t>
        </is>
      </c>
      <c r="H29" s="9" t="n">
        <v>1</v>
      </c>
      <c r="I29" s="9" t="inlineStr">
        <is>
          <t>set</t>
        </is>
      </c>
      <c r="J29" s="10">
        <f>IF(Summary!$I$23="","",Summary!$I$23)</f>
        <v/>
      </c>
      <c r="K29" s="10">
        <f>IF(OR(J29="",H29=""),"",H29*J29)</f>
        <v/>
      </c>
      <c r="L29" s="9" t="inlineStr">
        <is>
          <t>Control room</t>
        </is>
      </c>
      <c r="M29" s="9" t="inlineStr">
        <is>
          <t>Not in the Device List Rev 1; needed to house the rack servers and UPS. Confirm the room.</t>
        </is>
      </c>
      <c r="N29" s="9" t="inlineStr">
        <is>
          <t>P2</t>
        </is>
      </c>
      <c r="O29" s="9" t="inlineStr">
        <is>
          <t>RACK</t>
        </is>
      </c>
    </row>
    <row r="30">
      <c r="A30" s="9" t="inlineStr">
        <is>
          <t>P2.03</t>
        </is>
      </c>
      <c r="B30" s="9" t="inlineStr">
        <is>
          <t>OWS-01</t>
        </is>
      </c>
      <c r="C30" s="9" t="inlineStr">
        <is>
          <t>Operator workstation</t>
        </is>
      </c>
      <c r="D30" s="9" t="inlineStr">
        <is>
          <t>Dell</t>
        </is>
      </c>
      <c r="E30" s="9" t="inlineStr">
        <is>
          <t>OptiPlex 7000 series</t>
        </is>
      </c>
      <c r="F30" s="9" t="inlineStr">
        <is>
          <t>Configured to order</t>
        </is>
      </c>
      <c r="G30" s="9" t="inlineStr">
        <is>
          <t>To confirm with supplier</t>
        </is>
      </c>
      <c r="H30" s="9" t="n">
        <v>1</v>
      </c>
      <c r="I30" s="9" t="inlineStr">
        <is>
          <t>pc</t>
        </is>
      </c>
      <c r="J30" s="10">
        <f>IF(Summary!$I$24="","",Summary!$I$24)</f>
        <v/>
      </c>
      <c r="K30" s="10">
        <f>IF(OR(J30="",H30=""),"",H30*J30)</f>
        <v/>
      </c>
      <c r="L30" s="9" t="inlineStr">
        <is>
          <t>Control room</t>
        </is>
      </c>
      <c r="M30" s="9" t="inlineStr"/>
      <c r="N30" s="9" t="inlineStr">
        <is>
          <t>P2</t>
        </is>
      </c>
      <c r="O30" s="9" t="inlineStr">
        <is>
          <t>OWS</t>
        </is>
      </c>
    </row>
    <row r="31">
      <c r="A31" s="9" t="inlineStr">
        <is>
          <t>P2.04</t>
        </is>
      </c>
      <c r="B31" s="9" t="inlineStr">
        <is>
          <t>OWS-01</t>
        </is>
      </c>
      <c r="C31" s="9" t="inlineStr">
        <is>
          <t>Monitor 24-inch, full HD</t>
        </is>
      </c>
      <c r="D31" s="9" t="inlineStr">
        <is>
          <t>Dell</t>
        </is>
      </c>
      <c r="E31" s="9" t="inlineStr">
        <is>
          <t>P2425H or equal</t>
        </is>
      </c>
      <c r="F31" s="9" t="inlineStr">
        <is>
          <t>To suit</t>
        </is>
      </c>
      <c r="G31" s="9" t="inlineStr">
        <is>
          <t>To confirm with supplier</t>
        </is>
      </c>
      <c r="H31" s="9" t="n">
        <v>2</v>
      </c>
      <c r="I31" s="9" t="inlineStr">
        <is>
          <t>pc</t>
        </is>
      </c>
      <c r="J31" s="10">
        <f>IF(Summary!$I$25="","",Summary!$I$25)</f>
        <v/>
      </c>
      <c r="K31" s="10">
        <f>IF(OR(J31="",H31=""),"",H31*J31)</f>
        <v/>
      </c>
      <c r="L31" s="9" t="inlineStr">
        <is>
          <t>Control room</t>
        </is>
      </c>
      <c r="M31" s="9" t="inlineStr">
        <is>
          <t>Two monitors.</t>
        </is>
      </c>
      <c r="N31" s="9" t="inlineStr">
        <is>
          <t>P2</t>
        </is>
      </c>
      <c r="O31" s="9" t="inlineStr">
        <is>
          <t>MON</t>
        </is>
      </c>
    </row>
    <row r="32">
      <c r="A32" s="9" t="inlineStr">
        <is>
          <t>P2.05</t>
        </is>
      </c>
      <c r="B32" s="9" t="inlineStr">
        <is>
          <t>ENG-01</t>
        </is>
      </c>
      <c r="C32" s="9" t="inlineStr">
        <is>
          <t>Engineering laptop, rugged</t>
        </is>
      </c>
      <c r="D32" s="9" t="inlineStr">
        <is>
          <t>Dell</t>
        </is>
      </c>
      <c r="E32" s="9" t="inlineStr">
        <is>
          <t>Latitude 5430 Rugged</t>
        </is>
      </c>
      <c r="F32" s="9" t="inlineStr">
        <is>
          <t>Configured to order</t>
        </is>
      </c>
      <c r="G32" s="9" t="inlineStr">
        <is>
          <t>To confirm with supplier</t>
        </is>
      </c>
      <c r="H32" s="9" t="n">
        <v>1</v>
      </c>
      <c r="I32" s="9" t="inlineStr">
        <is>
          <t>pc</t>
        </is>
      </c>
      <c r="J32" s="10">
        <f>IF(Summary!$I$26="","",Summary!$I$26)</f>
        <v/>
      </c>
      <c r="K32" s="10">
        <f>IF(OR(J32="",H32=""),"",H32*J32)</f>
        <v/>
      </c>
      <c r="L32" s="9" t="inlineStr">
        <is>
          <t>Control room</t>
        </is>
      </c>
      <c r="M32" s="9" t="inlineStr"/>
      <c r="N32" s="9" t="inlineStr">
        <is>
          <t>P2</t>
        </is>
      </c>
      <c r="O32" s="9" t="inlineStr">
        <is>
          <t>LAP</t>
        </is>
      </c>
    </row>
    <row r="33">
      <c r="A33" s="9" t="inlineStr">
        <is>
          <t>P2.06</t>
        </is>
      </c>
      <c r="B33" s="9" t="inlineStr">
        <is>
          <t>UPS-01</t>
        </is>
      </c>
      <c r="C33" s="9" t="inlineStr">
        <is>
          <t>UPS 3000 VA online, rack, network card</t>
        </is>
      </c>
      <c r="D33" s="9" t="inlineStr">
        <is>
          <t>APC</t>
        </is>
      </c>
      <c r="E33" s="9" t="inlineStr">
        <is>
          <t>Smart-UPS SRT 3000</t>
        </is>
      </c>
      <c r="F33" s="9" t="inlineStr">
        <is>
          <t>SRT3000RMXLI</t>
        </is>
      </c>
      <c r="G33" s="9" t="inlineStr">
        <is>
          <t>From memory - confirm</t>
        </is>
      </c>
      <c r="H33" s="9" t="n">
        <v>1</v>
      </c>
      <c r="I33" s="9" t="inlineStr">
        <is>
          <t>pc</t>
        </is>
      </c>
      <c r="J33" s="10">
        <f>IF(Summary!$I$27="","",Summary!$I$27)</f>
        <v/>
      </c>
      <c r="K33" s="10">
        <f>IF(OR(J33="",H33=""),"",H33*J33)</f>
        <v/>
      </c>
      <c r="L33" s="9" t="inlineStr">
        <is>
          <t>Control room</t>
        </is>
      </c>
      <c r="M33" s="9" t="inlineStr">
        <is>
          <t>SNMP to the SCADA.</t>
        </is>
      </c>
      <c r="N33" s="9" t="inlineStr">
        <is>
          <t>P2</t>
        </is>
      </c>
      <c r="O33" s="9" t="inlineStr">
        <is>
          <t>UPS</t>
        </is>
      </c>
    </row>
    <row r="34">
      <c r="A34" s="9" t="inlineStr">
        <is>
          <t>P2.07</t>
        </is>
      </c>
      <c r="B34" s="9" t="inlineStr">
        <is>
          <t>UPS-01</t>
        </is>
      </c>
      <c r="C34" s="9" t="inlineStr">
        <is>
          <t>External battery pack for the UPS (about 2 h runtime, to size)</t>
        </is>
      </c>
      <c r="D34" s="9" t="inlineStr">
        <is>
          <t>APC</t>
        </is>
      </c>
      <c r="E34" s="9" t="inlineStr">
        <is>
          <t>SRT96RMBP</t>
        </is>
      </c>
      <c r="F34" s="9" t="inlineStr">
        <is>
          <t>SRT96RMBP</t>
        </is>
      </c>
      <c r="G34" s="9" t="inlineStr">
        <is>
          <t>From memory - confirm</t>
        </is>
      </c>
      <c r="H34" s="9" t="n">
        <v>1</v>
      </c>
      <c r="I34" s="9" t="inlineStr">
        <is>
          <t>pc</t>
        </is>
      </c>
      <c r="J34" s="10">
        <f>IF(Summary!$I$28="","",Summary!$I$28)</f>
        <v/>
      </c>
      <c r="K34" s="10">
        <f>IF(OR(J34="",H34=""),"",H34*J34)</f>
        <v/>
      </c>
      <c r="L34" s="9" t="inlineStr">
        <is>
          <t>Control room</t>
        </is>
      </c>
      <c r="M34" s="9" t="inlineStr">
        <is>
          <t>Size for the runtime the client requires.</t>
        </is>
      </c>
      <c r="N34" s="9" t="inlineStr">
        <is>
          <t>P2</t>
        </is>
      </c>
      <c r="O34" s="9" t="inlineStr">
        <is>
          <t>UPSB</t>
        </is>
      </c>
    </row>
    <row r="35">
      <c r="A35" s="9" t="inlineStr">
        <is>
          <t>P2.08</t>
        </is>
      </c>
      <c r="B35" s="9" t="inlineStr">
        <is>
          <t>ALM-01</t>
        </is>
      </c>
      <c r="C35" s="9" t="inlineStr">
        <is>
          <t>Alarm sounder and beacon</t>
        </is>
      </c>
      <c r="D35" s="9" t="inlineStr">
        <is>
          <t>Pfannenberg</t>
        </is>
      </c>
      <c r="E35" s="9" t="inlineStr">
        <is>
          <t>PATROL</t>
        </is>
      </c>
      <c r="F35" s="9" t="inlineStr">
        <is>
          <t>Model to suit</t>
        </is>
      </c>
      <c r="G35" s="11" t="inlineStr">
        <is>
          <t>TBC</t>
        </is>
      </c>
      <c r="H35" s="9" t="n">
        <v>1</v>
      </c>
      <c r="I35" s="9" t="inlineStr">
        <is>
          <t>pc</t>
        </is>
      </c>
      <c r="J35" s="10">
        <f>IF(Summary!$I$29="","",Summary!$I$29)</f>
        <v/>
      </c>
      <c r="K35" s="10">
        <f>IF(OR(J35="",H35=""),"",H35*J35)</f>
        <v/>
      </c>
      <c r="L35" s="9" t="inlineStr">
        <is>
          <t>Control room</t>
        </is>
      </c>
      <c r="M35" s="9" t="inlineStr">
        <is>
          <t>Hardwired to row 1.</t>
        </is>
      </c>
      <c r="N35" s="9" t="inlineStr">
        <is>
          <t>P2</t>
        </is>
      </c>
      <c r="O35" s="9" t="inlineStr">
        <is>
          <t>BEACON</t>
        </is>
      </c>
    </row>
    <row r="36">
      <c r="A36" s="12" t="inlineStr"/>
      <c r="B36" s="12" t="inlineStr">
        <is>
          <t>Subtotal P2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3">
        <f>SUM(K28:K35)</f>
        <v/>
      </c>
      <c r="L36" s="12" t="inlineStr"/>
      <c r="M36" s="12" t="inlineStr"/>
      <c r="N36" s="12" t="inlineStr"/>
      <c r="O36" s="12" t="inlineStr"/>
    </row>
    <row r="38">
      <c r="A38" s="6" t="inlineStr">
        <is>
          <t>P3</t>
        </is>
      </c>
      <c r="B38" s="6" t="inlineStr">
        <is>
          <t>President station I/O panel (row 3, SW-PRS)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6" t="inlineStr"/>
      <c r="O38" s="6" t="inlineStr"/>
    </row>
    <row r="39">
      <c r="A39" s="9" t="inlineStr">
        <is>
          <t>P3.01</t>
        </is>
      </c>
      <c r="B39" s="9" t="inlineStr">
        <is>
          <t>Row 3 interface</t>
        </is>
      </c>
      <c r="C39" s="9" t="inlineStr">
        <is>
          <t>I/O remote interface, optical, 110-220 V DC</t>
        </is>
      </c>
      <c r="D39" s="9" t="inlineStr">
        <is>
          <t>Siemens</t>
        </is>
      </c>
      <c r="E39" s="9" t="inlineStr">
        <is>
          <t>CI-8533</t>
        </is>
      </c>
      <c r="F39" s="9" t="inlineStr">
        <is>
          <t>To confirm</t>
        </is>
      </c>
      <c r="G39" s="9" t="inlineStr">
        <is>
          <t>To confirm with supplier</t>
        </is>
      </c>
      <c r="H39" s="9" t="n">
        <v>1</v>
      </c>
      <c r="I39" s="9" t="inlineStr">
        <is>
          <t>pc</t>
        </is>
      </c>
      <c r="J39" s="10">
        <f>IF(Summary!$I$30="","",Summary!$I$30)</f>
        <v/>
      </c>
      <c r="K39" s="10">
        <f>IF(OR(J39="",H39=""),"",H39*J39)</f>
        <v/>
      </c>
      <c r="L39" s="9" t="inlineStr">
        <is>
          <t>President office transformer station</t>
        </is>
      </c>
      <c r="M39" s="9" t="inlineStr">
        <is>
          <t>Confirm fibre type and maximum length.</t>
        </is>
      </c>
      <c r="N39" s="9" t="inlineStr">
        <is>
          <t>P3</t>
        </is>
      </c>
      <c r="O39" s="9" t="inlineStr">
        <is>
          <t>CI8533</t>
        </is>
      </c>
    </row>
    <row r="40">
      <c r="A40" s="9" t="inlineStr">
        <is>
          <t>P3.02</t>
        </is>
      </c>
      <c r="B40" s="9" t="inlineStr">
        <is>
          <t>R3-DI01 to R3-DI03</t>
        </is>
      </c>
      <c r="C40" s="9" t="inlineStr">
        <is>
          <t>Digital input, 2 x 8 inputs, 110 V DC</t>
        </is>
      </c>
      <c r="D40" s="9" t="inlineStr">
        <is>
          <t>Siemens</t>
        </is>
      </c>
      <c r="E40" s="9" t="inlineStr">
        <is>
          <t>DI-8112</t>
        </is>
      </c>
      <c r="F40" s="9" t="inlineStr">
        <is>
          <t>6MF2811-2AA00</t>
        </is>
      </c>
      <c r="G40" s="9" t="inlineStr">
        <is>
          <t>Checked</t>
        </is>
      </c>
      <c r="H40" s="9" t="n">
        <v>3</v>
      </c>
      <c r="I40" s="9" t="inlineStr">
        <is>
          <t>pc</t>
        </is>
      </c>
      <c r="J40" s="10">
        <f>IF(Summary!$I$9="","",Summary!$I$9)</f>
        <v/>
      </c>
      <c r="K40" s="10">
        <f>IF(OR(J40="",H40=""),"",H40*J40)</f>
        <v/>
      </c>
      <c r="L40" s="9" t="inlineStr">
        <is>
          <t>President office transformer station</t>
        </is>
      </c>
      <c r="M40" s="9" t="inlineStr">
        <is>
          <t>RMU, 630 kVA transformer, LVDB.</t>
        </is>
      </c>
      <c r="N40" s="9" t="inlineStr">
        <is>
          <t>P3</t>
        </is>
      </c>
      <c r="O40" s="9" t="inlineStr">
        <is>
          <t>DI8112</t>
        </is>
      </c>
    </row>
    <row r="41">
      <c r="A41" s="9" t="inlineStr">
        <is>
          <t>P3.03</t>
        </is>
      </c>
      <c r="B41" s="9" t="inlineStr">
        <is>
          <t>R3-CO01</t>
        </is>
      </c>
      <c r="C41" s="9" t="inlineStr">
        <is>
          <t>Secured command output, 12 outputs, 1-out-of-n check</t>
        </is>
      </c>
      <c r="D41" s="9" t="inlineStr">
        <is>
          <t>Siemens</t>
        </is>
      </c>
      <c r="E41" s="9" t="inlineStr">
        <is>
          <t>DO-8221</t>
        </is>
      </c>
      <c r="F41" s="9" t="inlineStr">
        <is>
          <t>To confirm</t>
        </is>
      </c>
      <c r="G41" s="9" t="inlineStr">
        <is>
          <t>To confirm with supplier</t>
        </is>
      </c>
      <c r="H41" s="9" t="n">
        <v>1</v>
      </c>
      <c r="I41" s="9" t="inlineStr">
        <is>
          <t>pc</t>
        </is>
      </c>
      <c r="J41" s="10">
        <f>IF(Summary!$I$10="","",Summary!$I$10)</f>
        <v/>
      </c>
      <c r="K41" s="10">
        <f>IF(OR(J41="",H41=""),"",H41*J41)</f>
        <v/>
      </c>
      <c r="L41" s="9" t="inlineStr">
        <is>
          <t>President office transformer station</t>
        </is>
      </c>
      <c r="M41" s="9" t="inlineStr">
        <is>
          <t>RMU and LVDB commands.</t>
        </is>
      </c>
      <c r="N41" s="9" t="inlineStr">
        <is>
          <t>P3</t>
        </is>
      </c>
      <c r="O41" s="9" t="inlineStr">
        <is>
          <t>DO8221</t>
        </is>
      </c>
    </row>
    <row r="42">
      <c r="A42" s="9" t="inlineStr">
        <is>
          <t>P3.04</t>
        </is>
      </c>
      <c r="B42" s="9" t="inlineStr">
        <is>
          <t>SW-PRS</t>
        </is>
      </c>
      <c r="C42" s="9" t="inlineStr">
        <is>
          <t>Managed field switch, 7 x RJ45 + 3 x gigabit combo/SFP</t>
        </is>
      </c>
      <c r="D42" s="9" t="inlineStr">
        <is>
          <t>Moxa</t>
        </is>
      </c>
      <c r="E42" s="9" t="inlineStr">
        <is>
          <t>EDS-510E</t>
        </is>
      </c>
      <c r="F42" s="9" t="inlineStr">
        <is>
          <t>EDS-510E-3GTXSFP</t>
        </is>
      </c>
      <c r="G42" s="9" t="inlineStr">
        <is>
          <t>From memory - confirm</t>
        </is>
      </c>
      <c r="H42" s="9" t="n">
        <v>1</v>
      </c>
      <c r="I42" s="9" t="inlineStr">
        <is>
          <t>pc</t>
        </is>
      </c>
      <c r="J42" s="10">
        <f>IF(Summary!$I$31="","",Summary!$I$31)</f>
        <v/>
      </c>
      <c r="K42" s="10">
        <f>IF(OR(J42="",H42=""),"",H42*J42)</f>
        <v/>
      </c>
      <c r="L42" s="9" t="inlineStr">
        <is>
          <t>President office transformer station</t>
        </is>
      </c>
      <c r="M42" s="9" t="inlineStr"/>
      <c r="N42" s="9" t="inlineStr">
        <is>
          <t>P3</t>
        </is>
      </c>
      <c r="O42" s="9" t="inlineStr">
        <is>
          <t>FSW</t>
        </is>
      </c>
    </row>
    <row r="43">
      <c r="A43" s="9" t="inlineStr">
        <is>
          <t>P3.05</t>
        </is>
      </c>
      <c r="B43" s="9" t="inlineStr">
        <is>
          <t>SW-PRS ring ports</t>
        </is>
      </c>
      <c r="C43" s="9" t="inlineStr">
        <is>
          <t>SFP transceiver, gigabit, single-mode, LC</t>
        </is>
      </c>
      <c r="D43" s="9" t="inlineStr">
        <is>
          <t>Moxa</t>
        </is>
      </c>
      <c r="E43" s="9" t="inlineStr">
        <is>
          <t>SFP-1GLXLC</t>
        </is>
      </c>
      <c r="F43" s="9" t="inlineStr">
        <is>
          <t>SFP-1GLXLC</t>
        </is>
      </c>
      <c r="G43" s="9" t="inlineStr">
        <is>
          <t>From memory - confirm</t>
        </is>
      </c>
      <c r="H43" s="9" t="n">
        <v>2</v>
      </c>
      <c r="I43" s="9" t="inlineStr">
        <is>
          <t>pc</t>
        </is>
      </c>
      <c r="J43" s="10">
        <f>IF(Summary!$I$14="","",Summary!$I$14)</f>
        <v/>
      </c>
      <c r="K43" s="10">
        <f>IF(OR(J43="",H43=""),"",H43*J43)</f>
        <v/>
      </c>
      <c r="L43" s="9" t="inlineStr">
        <is>
          <t>President office transformer station</t>
        </is>
      </c>
      <c r="M43" s="9" t="inlineStr"/>
      <c r="N43" s="9" t="inlineStr">
        <is>
          <t>P3</t>
        </is>
      </c>
      <c r="O43" s="9" t="inlineStr">
        <is>
          <t>SFP</t>
        </is>
      </c>
    </row>
    <row r="44">
      <c r="A44" s="9" t="inlineStr">
        <is>
          <t>P3.06</t>
        </is>
      </c>
      <c r="B44" s="9" t="inlineStr">
        <is>
          <t>MGate-PRS</t>
        </is>
      </c>
      <c r="C44" s="9" t="inlineStr">
        <is>
          <t>Modbus RTU to Modbus TCP gateway, 1 port</t>
        </is>
      </c>
      <c r="D44" s="9" t="inlineStr">
        <is>
          <t>Moxa</t>
        </is>
      </c>
      <c r="E44" s="9" t="inlineStr">
        <is>
          <t>MGate MB3170</t>
        </is>
      </c>
      <c r="F44" s="9" t="inlineStr">
        <is>
          <t>MB3170</t>
        </is>
      </c>
      <c r="G44" s="9" t="inlineStr">
        <is>
          <t>From memory - confirm</t>
        </is>
      </c>
      <c r="H44" s="9" t="n">
        <v>1</v>
      </c>
      <c r="I44" s="9" t="inlineStr">
        <is>
          <t>pc</t>
        </is>
      </c>
      <c r="J44" s="10">
        <f>IF(Summary!$I$32="","",Summary!$I$32)</f>
        <v/>
      </c>
      <c r="K44" s="10">
        <f>IF(OR(J44="",H44=""),"",H44*J44)</f>
        <v/>
      </c>
      <c r="L44" s="9" t="inlineStr">
        <is>
          <t>President office transformer station</t>
        </is>
      </c>
      <c r="M44" s="9" t="inlineStr">
        <is>
          <t>ST260E RMU relay, RS485.</t>
        </is>
      </c>
      <c r="N44" s="9" t="inlineStr">
        <is>
          <t>P3</t>
        </is>
      </c>
      <c r="O44" s="9" t="inlineStr">
        <is>
          <t>MGATE</t>
        </is>
      </c>
    </row>
    <row r="45">
      <c r="A45" s="9" t="inlineStr">
        <is>
          <t>P3.07</t>
        </is>
      </c>
      <c r="B45" s="9" t="inlineStr">
        <is>
          <t>Panel 24 V</t>
        </is>
      </c>
      <c r="C45" s="9" t="inlineStr">
        <is>
          <t>24 V DC power supply 5 A, input 85-264 V AC / 110-300 V DC</t>
        </is>
      </c>
      <c r="D45" s="9" t="inlineStr">
        <is>
          <t>Siemens</t>
        </is>
      </c>
      <c r="E45" s="9" t="inlineStr">
        <is>
          <t>SITOP PSU8200 24 V/5 A</t>
        </is>
      </c>
      <c r="F45" s="9" t="inlineStr">
        <is>
          <t>6EP1333-3BA10</t>
        </is>
      </c>
      <c r="G45" s="9" t="inlineStr">
        <is>
          <t>From memory - confirm</t>
        </is>
      </c>
      <c r="H45" s="9" t="n">
        <v>1</v>
      </c>
      <c r="I45" s="9" t="inlineStr">
        <is>
          <t>pc</t>
        </is>
      </c>
      <c r="J45" s="10">
        <f>IF(Summary!$I$33="","",Summary!$I$33)</f>
        <v/>
      </c>
      <c r="K45" s="10">
        <f>IF(OR(J45="",H45=""),"",H45*J45)</f>
        <v/>
      </c>
      <c r="L45" s="9" t="inlineStr">
        <is>
          <t>President office transformer station</t>
        </is>
      </c>
      <c r="M45" s="9" t="inlineStr">
        <is>
          <t>Smaller than the 20 A unit in the Device List, which is oversized here.</t>
        </is>
      </c>
      <c r="N45" s="9" t="inlineStr">
        <is>
          <t>P3</t>
        </is>
      </c>
      <c r="O45" s="9" t="inlineStr">
        <is>
          <t>PSU5</t>
        </is>
      </c>
    </row>
    <row r="46">
      <c r="A46" s="9" t="inlineStr">
        <is>
          <t>P3.08</t>
        </is>
      </c>
      <c r="B46" s="9" t="inlineStr">
        <is>
          <t>PM5560-PRS</t>
        </is>
      </c>
      <c r="C46" s="9" t="inlineStr">
        <is>
          <t>Power meter with Ethernet, Modbus TCP</t>
        </is>
      </c>
      <c r="D46" s="9" t="inlineStr">
        <is>
          <t>Schneider Electric</t>
        </is>
      </c>
      <c r="E46" s="9" t="inlineStr">
        <is>
          <t>PowerLogic PM5560</t>
        </is>
      </c>
      <c r="F46" s="9" t="inlineStr">
        <is>
          <t>METSEPM5560</t>
        </is>
      </c>
      <c r="G46" s="9" t="inlineStr">
        <is>
          <t>From memory - confirm</t>
        </is>
      </c>
      <c r="H46" s="9" t="n">
        <v>1</v>
      </c>
      <c r="I46" s="9" t="inlineStr">
        <is>
          <t>pc</t>
        </is>
      </c>
      <c r="J46" s="10">
        <f>IF(Summary!$I$18="","",Summary!$I$18)</f>
        <v/>
      </c>
      <c r="K46" s="10">
        <f>IF(OR(J46="",H46=""),"",H46*J46)</f>
        <v/>
      </c>
      <c r="L46" s="9" t="inlineStr">
        <is>
          <t>President office transformer station</t>
        </is>
      </c>
      <c r="M46" s="9" t="inlineStr">
        <is>
          <t>Mounted in the LVDB.</t>
        </is>
      </c>
      <c r="N46" s="9" t="inlineStr">
        <is>
          <t>P3</t>
        </is>
      </c>
      <c r="O46" s="9" t="inlineStr">
        <is>
          <t>PM5560</t>
        </is>
      </c>
    </row>
    <row r="47">
      <c r="A47" s="9" t="inlineStr">
        <is>
          <t>P3.09</t>
        </is>
      </c>
      <c r="B47" s="9" t="inlineStr">
        <is>
          <t>Fibre termination</t>
        </is>
      </c>
      <c r="C47" s="9" t="inlineStr">
        <is>
          <t>Fibre splice box, DIN rail, 12 x LC</t>
        </is>
      </c>
      <c r="D47" s="9" t="inlineStr">
        <is>
          <t>To suit</t>
        </is>
      </c>
      <c r="E47" s="9" t="inlineStr">
        <is>
          <t>-</t>
        </is>
      </c>
      <c r="F47" s="9" t="inlineStr">
        <is>
          <t>-</t>
        </is>
      </c>
      <c r="G47" s="11" t="inlineStr">
        <is>
          <t>TBC</t>
        </is>
      </c>
      <c r="H47" s="9" t="n">
        <v>1</v>
      </c>
      <c r="I47" s="9" t="inlineStr">
        <is>
          <t>pc</t>
        </is>
      </c>
      <c r="J47" s="10">
        <f>IF(Summary!$I$34="","",Summary!$I$34)</f>
        <v/>
      </c>
      <c r="K47" s="10">
        <f>IF(OR(J47="",H47=""),"",H47*J47)</f>
        <v/>
      </c>
      <c r="L47" s="9" t="inlineStr">
        <is>
          <t>President office transformer station</t>
        </is>
      </c>
      <c r="M47" s="9" t="inlineStr"/>
      <c r="N47" s="9" t="inlineStr">
        <is>
          <t>P3</t>
        </is>
      </c>
      <c r="O47" s="9" t="inlineStr">
        <is>
          <t>FSB</t>
        </is>
      </c>
    </row>
    <row r="48">
      <c r="A48" s="9" t="inlineStr">
        <is>
          <t>P3.10</t>
        </is>
      </c>
      <c r="B48" s="9" t="inlineStr">
        <is>
          <t>Row 3 panel</t>
        </is>
      </c>
      <c r="C48" s="9" t="inlineStr">
        <is>
          <t>Outdoor I/O panel, IP55 minimum, with sun shade</t>
        </is>
      </c>
      <c r="D48" s="9" t="inlineStr">
        <is>
          <t>Rittal</t>
        </is>
      </c>
      <c r="E48" s="9" t="inlineStr">
        <is>
          <t>AX</t>
        </is>
      </c>
      <c r="F48" s="9" t="inlineStr">
        <is>
          <t>Size to suit</t>
        </is>
      </c>
      <c r="G48" s="11" t="inlineStr">
        <is>
          <t>TBC</t>
        </is>
      </c>
      <c r="H48" s="9" t="n">
        <v>1</v>
      </c>
      <c r="I48" s="9" t="inlineStr">
        <is>
          <t>pc</t>
        </is>
      </c>
      <c r="J48" s="10">
        <f>IF(Summary!$I$35="","",Summary!$I$35)</f>
        <v/>
      </c>
      <c r="K48" s="10">
        <f>IF(OR(J48="",H48=""),"",H48*J48)</f>
        <v/>
      </c>
      <c r="L48" s="9" t="inlineStr">
        <is>
          <t>President office transformer station</t>
        </is>
      </c>
      <c r="M48" s="9" t="inlineStr"/>
      <c r="N48" s="9" t="inlineStr">
        <is>
          <t>P3</t>
        </is>
      </c>
      <c r="O48" s="9" t="inlineStr">
        <is>
          <t>AX</t>
        </is>
      </c>
    </row>
    <row r="49">
      <c r="A49" s="9" t="inlineStr">
        <is>
          <t>P3.11</t>
        </is>
      </c>
      <c r="B49" s="9" t="inlineStr">
        <is>
          <t>Row 3 panel</t>
        </is>
      </c>
      <c r="C49" s="9" t="inlineStr">
        <is>
          <t>Panel accessories: MCBs, terminals, surge protection, anti-condensation heater and thermostat, door switch, labels, wiring</t>
        </is>
      </c>
      <c r="D49" s="9" t="inlineStr">
        <is>
          <t>To suit</t>
        </is>
      </c>
      <c r="E49" s="9" t="inlineStr">
        <is>
          <t>-</t>
        </is>
      </c>
      <c r="F49" s="9" t="inlineStr">
        <is>
          <t>-</t>
        </is>
      </c>
      <c r="G49" s="11" t="inlineStr">
        <is>
          <t>TBC</t>
        </is>
      </c>
      <c r="H49" s="9" t="n">
        <v>1</v>
      </c>
      <c r="I49" s="9" t="inlineStr">
        <is>
          <t>lot</t>
        </is>
      </c>
      <c r="J49" s="10">
        <f>IF(Summary!$I$36="","",Summary!$I$36)</f>
        <v/>
      </c>
      <c r="K49" s="10">
        <f>IF(OR(J49="",H49=""),"",H49*J49)</f>
        <v/>
      </c>
      <c r="L49" s="9" t="inlineStr">
        <is>
          <t>President office transformer station</t>
        </is>
      </c>
      <c r="M49" s="9" t="inlineStr"/>
      <c r="N49" s="9" t="inlineStr">
        <is>
          <t>P3</t>
        </is>
      </c>
      <c r="O49" s="9" t="inlineStr">
        <is>
          <t>ACC_P</t>
        </is>
      </c>
    </row>
    <row r="50">
      <c r="A50" s="12" t="inlineStr"/>
      <c r="B50" s="12" t="inlineStr">
        <is>
          <t>Subtotal P3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3">
        <f>SUM(K39:K49)</f>
        <v/>
      </c>
      <c r="L50" s="12" t="inlineStr"/>
      <c r="M50" s="12" t="inlineStr"/>
      <c r="N50" s="12" t="inlineStr"/>
      <c r="O50" s="12" t="inlineStr"/>
    </row>
    <row r="52">
      <c r="A52" s="6" t="inlineStr">
        <is>
          <t>P4</t>
        </is>
      </c>
      <c r="B52" s="6" t="inlineStr">
        <is>
          <t>Prime Minister station I/O panel (row 4, SW-PMS)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/>
      <c r="N52" s="6" t="inlineStr"/>
      <c r="O52" s="6" t="inlineStr"/>
    </row>
    <row r="53">
      <c r="A53" s="9" t="inlineStr">
        <is>
          <t>P4.01</t>
        </is>
      </c>
      <c r="B53" s="9" t="inlineStr">
        <is>
          <t>Row 4 interface</t>
        </is>
      </c>
      <c r="C53" s="9" t="inlineStr">
        <is>
          <t>I/O remote interface, optical, 110-220 V DC</t>
        </is>
      </c>
      <c r="D53" s="9" t="inlineStr">
        <is>
          <t>Siemens</t>
        </is>
      </c>
      <c r="E53" s="9" t="inlineStr">
        <is>
          <t>CI-8533</t>
        </is>
      </c>
      <c r="F53" s="9" t="inlineStr">
        <is>
          <t>To confirm</t>
        </is>
      </c>
      <c r="G53" s="9" t="inlineStr">
        <is>
          <t>To confirm with supplier</t>
        </is>
      </c>
      <c r="H53" s="9" t="n">
        <v>1</v>
      </c>
      <c r="I53" s="9" t="inlineStr">
        <is>
          <t>pc</t>
        </is>
      </c>
      <c r="J53" s="10">
        <f>IF(Summary!$I$30="","",Summary!$I$30)</f>
        <v/>
      </c>
      <c r="K53" s="10">
        <f>IF(OR(J53="",H53=""),"",H53*J53)</f>
        <v/>
      </c>
      <c r="L53" s="9" t="inlineStr">
        <is>
          <t>Prime Minister office transformer station</t>
        </is>
      </c>
      <c r="M53" s="9" t="inlineStr">
        <is>
          <t>Confirm fibre type and maximum length.</t>
        </is>
      </c>
      <c r="N53" s="9" t="inlineStr">
        <is>
          <t>P4</t>
        </is>
      </c>
      <c r="O53" s="9" t="inlineStr">
        <is>
          <t>CI8533</t>
        </is>
      </c>
    </row>
    <row r="54">
      <c r="A54" s="9" t="inlineStr">
        <is>
          <t>P4.02</t>
        </is>
      </c>
      <c r="B54" s="9" t="inlineStr">
        <is>
          <t>R4-DI01 to R4-DI03</t>
        </is>
      </c>
      <c r="C54" s="9" t="inlineStr">
        <is>
          <t>Digital input, 2 x 8 inputs, 110 V DC</t>
        </is>
      </c>
      <c r="D54" s="9" t="inlineStr">
        <is>
          <t>Siemens</t>
        </is>
      </c>
      <c r="E54" s="9" t="inlineStr">
        <is>
          <t>DI-8112</t>
        </is>
      </c>
      <c r="F54" s="9" t="inlineStr">
        <is>
          <t>6MF2811-2AA00</t>
        </is>
      </c>
      <c r="G54" s="9" t="inlineStr">
        <is>
          <t>Checked</t>
        </is>
      </c>
      <c r="H54" s="9" t="n">
        <v>3</v>
      </c>
      <c r="I54" s="9" t="inlineStr">
        <is>
          <t>pc</t>
        </is>
      </c>
      <c r="J54" s="10">
        <f>IF(Summary!$I$9="","",Summary!$I$9)</f>
        <v/>
      </c>
      <c r="K54" s="10">
        <f>IF(OR(J54="",H54=""),"",H54*J54)</f>
        <v/>
      </c>
      <c r="L54" s="9" t="inlineStr">
        <is>
          <t>Prime Minister office transformer station</t>
        </is>
      </c>
      <c r="M54" s="9" t="inlineStr">
        <is>
          <t>RMU, 630 kVA transformer, LVDB.</t>
        </is>
      </c>
      <c r="N54" s="9" t="inlineStr">
        <is>
          <t>P4</t>
        </is>
      </c>
      <c r="O54" s="9" t="inlineStr">
        <is>
          <t>DI8112</t>
        </is>
      </c>
    </row>
    <row r="55">
      <c r="A55" s="9" t="inlineStr">
        <is>
          <t>P4.03</t>
        </is>
      </c>
      <c r="B55" s="9" t="inlineStr">
        <is>
          <t>R4-CO01</t>
        </is>
      </c>
      <c r="C55" s="9" t="inlineStr">
        <is>
          <t>Secured command output, 12 outputs, 1-out-of-n check</t>
        </is>
      </c>
      <c r="D55" s="9" t="inlineStr">
        <is>
          <t>Siemens</t>
        </is>
      </c>
      <c r="E55" s="9" t="inlineStr">
        <is>
          <t>DO-8221</t>
        </is>
      </c>
      <c r="F55" s="9" t="inlineStr">
        <is>
          <t>To confirm</t>
        </is>
      </c>
      <c r="G55" s="9" t="inlineStr">
        <is>
          <t>To confirm with supplier</t>
        </is>
      </c>
      <c r="H55" s="9" t="n">
        <v>1</v>
      </c>
      <c r="I55" s="9" t="inlineStr">
        <is>
          <t>pc</t>
        </is>
      </c>
      <c r="J55" s="10">
        <f>IF(Summary!$I$10="","",Summary!$I$10)</f>
        <v/>
      </c>
      <c r="K55" s="10">
        <f>IF(OR(J55="",H55=""),"",H55*J55)</f>
        <v/>
      </c>
      <c r="L55" s="9" t="inlineStr">
        <is>
          <t>Prime Minister office transformer station</t>
        </is>
      </c>
      <c r="M55" s="9" t="inlineStr">
        <is>
          <t>RMU and LVDB commands.</t>
        </is>
      </c>
      <c r="N55" s="9" t="inlineStr">
        <is>
          <t>P4</t>
        </is>
      </c>
      <c r="O55" s="9" t="inlineStr">
        <is>
          <t>DO8221</t>
        </is>
      </c>
    </row>
    <row r="56">
      <c r="A56" s="9" t="inlineStr">
        <is>
          <t>P4.04</t>
        </is>
      </c>
      <c r="B56" s="9" t="inlineStr">
        <is>
          <t>SW-PMS</t>
        </is>
      </c>
      <c r="C56" s="9" t="inlineStr">
        <is>
          <t>Managed field switch, 7 x RJ45 + 3 x gigabit combo/SFP</t>
        </is>
      </c>
      <c r="D56" s="9" t="inlineStr">
        <is>
          <t>Moxa</t>
        </is>
      </c>
      <c r="E56" s="9" t="inlineStr">
        <is>
          <t>EDS-510E</t>
        </is>
      </c>
      <c r="F56" s="9" t="inlineStr">
        <is>
          <t>EDS-510E-3GTXSFP</t>
        </is>
      </c>
      <c r="G56" s="9" t="inlineStr">
        <is>
          <t>From memory - confirm</t>
        </is>
      </c>
      <c r="H56" s="9" t="n">
        <v>1</v>
      </c>
      <c r="I56" s="9" t="inlineStr">
        <is>
          <t>pc</t>
        </is>
      </c>
      <c r="J56" s="10">
        <f>IF(Summary!$I$31="","",Summary!$I$31)</f>
        <v/>
      </c>
      <c r="K56" s="10">
        <f>IF(OR(J56="",H56=""),"",H56*J56)</f>
        <v/>
      </c>
      <c r="L56" s="9" t="inlineStr">
        <is>
          <t>Prime Minister office transformer station</t>
        </is>
      </c>
      <c r="M56" s="9" t="inlineStr"/>
      <c r="N56" s="9" t="inlineStr">
        <is>
          <t>P4</t>
        </is>
      </c>
      <c r="O56" s="9" t="inlineStr">
        <is>
          <t>FSW</t>
        </is>
      </c>
    </row>
    <row r="57">
      <c r="A57" s="9" t="inlineStr">
        <is>
          <t>P4.05</t>
        </is>
      </c>
      <c r="B57" s="9" t="inlineStr">
        <is>
          <t>SW-PMS ring ports</t>
        </is>
      </c>
      <c r="C57" s="9" t="inlineStr">
        <is>
          <t>SFP transceiver, gigabit, single-mode, LC</t>
        </is>
      </c>
      <c r="D57" s="9" t="inlineStr">
        <is>
          <t>Moxa</t>
        </is>
      </c>
      <c r="E57" s="9" t="inlineStr">
        <is>
          <t>SFP-1GLXLC</t>
        </is>
      </c>
      <c r="F57" s="9" t="inlineStr">
        <is>
          <t>SFP-1GLXLC</t>
        </is>
      </c>
      <c r="G57" s="9" t="inlineStr">
        <is>
          <t>From memory - confirm</t>
        </is>
      </c>
      <c r="H57" s="9" t="n">
        <v>2</v>
      </c>
      <c r="I57" s="9" t="inlineStr">
        <is>
          <t>pc</t>
        </is>
      </c>
      <c r="J57" s="10">
        <f>IF(Summary!$I$14="","",Summary!$I$14)</f>
        <v/>
      </c>
      <c r="K57" s="10">
        <f>IF(OR(J57="",H57=""),"",H57*J57)</f>
        <v/>
      </c>
      <c r="L57" s="9" t="inlineStr">
        <is>
          <t>Prime Minister office transformer station</t>
        </is>
      </c>
      <c r="M57" s="9" t="inlineStr"/>
      <c r="N57" s="9" t="inlineStr">
        <is>
          <t>P4</t>
        </is>
      </c>
      <c r="O57" s="9" t="inlineStr">
        <is>
          <t>SFP</t>
        </is>
      </c>
    </row>
    <row r="58">
      <c r="A58" s="9" t="inlineStr">
        <is>
          <t>P4.06</t>
        </is>
      </c>
      <c r="B58" s="9" t="inlineStr">
        <is>
          <t>MGate-PMS</t>
        </is>
      </c>
      <c r="C58" s="9" t="inlineStr">
        <is>
          <t>Modbus RTU to Modbus TCP gateway, 1 port</t>
        </is>
      </c>
      <c r="D58" s="9" t="inlineStr">
        <is>
          <t>Moxa</t>
        </is>
      </c>
      <c r="E58" s="9" t="inlineStr">
        <is>
          <t>MGate MB3170</t>
        </is>
      </c>
      <c r="F58" s="9" t="inlineStr">
        <is>
          <t>MB3170</t>
        </is>
      </c>
      <c r="G58" s="9" t="inlineStr">
        <is>
          <t>From memory - confirm</t>
        </is>
      </c>
      <c r="H58" s="9" t="n">
        <v>1</v>
      </c>
      <c r="I58" s="9" t="inlineStr">
        <is>
          <t>pc</t>
        </is>
      </c>
      <c r="J58" s="10">
        <f>IF(Summary!$I$32="","",Summary!$I$32)</f>
        <v/>
      </c>
      <c r="K58" s="10">
        <f>IF(OR(J58="",H58=""),"",H58*J58)</f>
        <v/>
      </c>
      <c r="L58" s="9" t="inlineStr">
        <is>
          <t>Prime Minister office transformer station</t>
        </is>
      </c>
      <c r="M58" s="9" t="inlineStr">
        <is>
          <t>ST260E RMU relay, RS485.</t>
        </is>
      </c>
      <c r="N58" s="9" t="inlineStr">
        <is>
          <t>P4</t>
        </is>
      </c>
      <c r="O58" s="9" t="inlineStr">
        <is>
          <t>MGATE</t>
        </is>
      </c>
    </row>
    <row r="59">
      <c r="A59" s="9" t="inlineStr">
        <is>
          <t>P4.07</t>
        </is>
      </c>
      <c r="B59" s="9" t="inlineStr">
        <is>
          <t>Panel 24 V</t>
        </is>
      </c>
      <c r="C59" s="9" t="inlineStr">
        <is>
          <t>24 V DC power supply 5 A, input 85-264 V AC / 110-300 V DC</t>
        </is>
      </c>
      <c r="D59" s="9" t="inlineStr">
        <is>
          <t>Siemens</t>
        </is>
      </c>
      <c r="E59" s="9" t="inlineStr">
        <is>
          <t>SITOP PSU8200 24 V/5 A</t>
        </is>
      </c>
      <c r="F59" s="9" t="inlineStr">
        <is>
          <t>6EP1333-3BA10</t>
        </is>
      </c>
      <c r="G59" s="9" t="inlineStr">
        <is>
          <t>From memory - confirm</t>
        </is>
      </c>
      <c r="H59" s="9" t="n">
        <v>1</v>
      </c>
      <c r="I59" s="9" t="inlineStr">
        <is>
          <t>pc</t>
        </is>
      </c>
      <c r="J59" s="10">
        <f>IF(Summary!$I$33="","",Summary!$I$33)</f>
        <v/>
      </c>
      <c r="K59" s="10">
        <f>IF(OR(J59="",H59=""),"",H59*J59)</f>
        <v/>
      </c>
      <c r="L59" s="9" t="inlineStr">
        <is>
          <t>Prime Minister office transformer station</t>
        </is>
      </c>
      <c r="M59" s="9" t="inlineStr"/>
      <c r="N59" s="9" t="inlineStr">
        <is>
          <t>P4</t>
        </is>
      </c>
      <c r="O59" s="9" t="inlineStr">
        <is>
          <t>PSU5</t>
        </is>
      </c>
    </row>
    <row r="60">
      <c r="A60" s="9" t="inlineStr">
        <is>
          <t>P4.08</t>
        </is>
      </c>
      <c r="B60" s="9" t="inlineStr">
        <is>
          <t>PM5560-PMS</t>
        </is>
      </c>
      <c r="C60" s="9" t="inlineStr">
        <is>
          <t>Power meter with Ethernet, Modbus TCP</t>
        </is>
      </c>
      <c r="D60" s="9" t="inlineStr">
        <is>
          <t>Schneider Electric</t>
        </is>
      </c>
      <c r="E60" s="9" t="inlineStr">
        <is>
          <t>PowerLogic PM5560</t>
        </is>
      </c>
      <c r="F60" s="9" t="inlineStr">
        <is>
          <t>METSEPM5560</t>
        </is>
      </c>
      <c r="G60" s="9" t="inlineStr">
        <is>
          <t>From memory - confirm</t>
        </is>
      </c>
      <c r="H60" s="9" t="n">
        <v>1</v>
      </c>
      <c r="I60" s="9" t="inlineStr">
        <is>
          <t>pc</t>
        </is>
      </c>
      <c r="J60" s="10">
        <f>IF(Summary!$I$18="","",Summary!$I$18)</f>
        <v/>
      </c>
      <c r="K60" s="10">
        <f>IF(OR(J60="",H60=""),"",H60*J60)</f>
        <v/>
      </c>
      <c r="L60" s="9" t="inlineStr">
        <is>
          <t>Prime Minister office transformer station</t>
        </is>
      </c>
      <c r="M60" s="9" t="inlineStr">
        <is>
          <t>Mounted in the LVDB.</t>
        </is>
      </c>
      <c r="N60" s="9" t="inlineStr">
        <is>
          <t>P4</t>
        </is>
      </c>
      <c r="O60" s="9" t="inlineStr">
        <is>
          <t>PM5560</t>
        </is>
      </c>
    </row>
    <row r="61">
      <c r="A61" s="9" t="inlineStr">
        <is>
          <t>P4.09</t>
        </is>
      </c>
      <c r="B61" s="9" t="inlineStr">
        <is>
          <t>Fibre termination</t>
        </is>
      </c>
      <c r="C61" s="9" t="inlineStr">
        <is>
          <t>Fibre splice box, DIN rail, 12 x LC</t>
        </is>
      </c>
      <c r="D61" s="9" t="inlineStr">
        <is>
          <t>To suit</t>
        </is>
      </c>
      <c r="E61" s="9" t="inlineStr">
        <is>
          <t>-</t>
        </is>
      </c>
      <c r="F61" s="9" t="inlineStr">
        <is>
          <t>-</t>
        </is>
      </c>
      <c r="G61" s="11" t="inlineStr">
        <is>
          <t>TBC</t>
        </is>
      </c>
      <c r="H61" s="9" t="n">
        <v>1</v>
      </c>
      <c r="I61" s="9" t="inlineStr">
        <is>
          <t>pc</t>
        </is>
      </c>
      <c r="J61" s="10">
        <f>IF(Summary!$I$34="","",Summary!$I$34)</f>
        <v/>
      </c>
      <c r="K61" s="10">
        <f>IF(OR(J61="",H61=""),"",H61*J61)</f>
        <v/>
      </c>
      <c r="L61" s="9" t="inlineStr">
        <is>
          <t>Prime Minister office transformer station</t>
        </is>
      </c>
      <c r="M61" s="9" t="inlineStr"/>
      <c r="N61" s="9" t="inlineStr">
        <is>
          <t>P4</t>
        </is>
      </c>
      <c r="O61" s="9" t="inlineStr">
        <is>
          <t>FSB</t>
        </is>
      </c>
    </row>
    <row r="62">
      <c r="A62" s="9" t="inlineStr">
        <is>
          <t>P4.10</t>
        </is>
      </c>
      <c r="B62" s="9" t="inlineStr">
        <is>
          <t>Row 4 panel</t>
        </is>
      </c>
      <c r="C62" s="9" t="inlineStr">
        <is>
          <t>Outdoor I/O panel, IP55 minimum, with sun shade</t>
        </is>
      </c>
      <c r="D62" s="9" t="inlineStr">
        <is>
          <t>Rittal</t>
        </is>
      </c>
      <c r="E62" s="9" t="inlineStr">
        <is>
          <t>AX</t>
        </is>
      </c>
      <c r="F62" s="9" t="inlineStr">
        <is>
          <t>Size to suit</t>
        </is>
      </c>
      <c r="G62" s="11" t="inlineStr">
        <is>
          <t>TBC</t>
        </is>
      </c>
      <c r="H62" s="9" t="n">
        <v>1</v>
      </c>
      <c r="I62" s="9" t="inlineStr">
        <is>
          <t>pc</t>
        </is>
      </c>
      <c r="J62" s="10">
        <f>IF(Summary!$I$35="","",Summary!$I$35)</f>
        <v/>
      </c>
      <c r="K62" s="10">
        <f>IF(OR(J62="",H62=""),"",H62*J62)</f>
        <v/>
      </c>
      <c r="L62" s="9" t="inlineStr">
        <is>
          <t>Prime Minister office transformer station</t>
        </is>
      </c>
      <c r="M62" s="9" t="inlineStr"/>
      <c r="N62" s="9" t="inlineStr">
        <is>
          <t>P4</t>
        </is>
      </c>
      <c r="O62" s="9" t="inlineStr">
        <is>
          <t>AX</t>
        </is>
      </c>
    </row>
    <row r="63">
      <c r="A63" s="9" t="inlineStr">
        <is>
          <t>P4.11</t>
        </is>
      </c>
      <c r="B63" s="9" t="inlineStr">
        <is>
          <t>Row 4 panel</t>
        </is>
      </c>
      <c r="C63" s="9" t="inlineStr">
        <is>
          <t>Panel accessories: MCBs, terminals, surge protection, anti-condensation heater and thermostat, door switch, labels, wiring</t>
        </is>
      </c>
      <c r="D63" s="9" t="inlineStr">
        <is>
          <t>To suit</t>
        </is>
      </c>
      <c r="E63" s="9" t="inlineStr">
        <is>
          <t>-</t>
        </is>
      </c>
      <c r="F63" s="9" t="inlineStr">
        <is>
          <t>-</t>
        </is>
      </c>
      <c r="G63" s="11" t="inlineStr">
        <is>
          <t>TBC</t>
        </is>
      </c>
      <c r="H63" s="9" t="n">
        <v>1</v>
      </c>
      <c r="I63" s="9" t="inlineStr">
        <is>
          <t>lot</t>
        </is>
      </c>
      <c r="J63" s="10">
        <f>IF(Summary!$I$36="","",Summary!$I$36)</f>
        <v/>
      </c>
      <c r="K63" s="10">
        <f>IF(OR(J63="",H63=""),"",H63*J63)</f>
        <v/>
      </c>
      <c r="L63" s="9" t="inlineStr">
        <is>
          <t>Prime Minister office transformer station</t>
        </is>
      </c>
      <c r="M63" s="9" t="inlineStr"/>
      <c r="N63" s="9" t="inlineStr">
        <is>
          <t>P4</t>
        </is>
      </c>
      <c r="O63" s="9" t="inlineStr">
        <is>
          <t>ACC_P</t>
        </is>
      </c>
    </row>
    <row r="64">
      <c r="A64" s="12" t="inlineStr"/>
      <c r="B64" s="12" t="inlineStr">
        <is>
          <t>Subtotal P4</t>
        </is>
      </c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3">
        <f>SUM(K53:K63)</f>
        <v/>
      </c>
      <c r="L64" s="12" t="inlineStr"/>
      <c r="M64" s="12" t="inlineStr"/>
      <c r="N64" s="12" t="inlineStr"/>
      <c r="O64" s="12" t="inlineStr"/>
    </row>
    <row r="66">
      <c r="A66" s="6" t="inlineStr">
        <is>
          <t>P5</t>
        </is>
      </c>
      <c r="B66" s="6" t="inlineStr">
        <is>
          <t>BESS and inverter transformer yard I/O panel (row 5, SW-BESS)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8" t="n"/>
      <c r="N66" s="6" t="inlineStr"/>
      <c r="O66" s="6" t="inlineStr"/>
    </row>
    <row r="67">
      <c r="A67" s="9" t="inlineStr">
        <is>
          <t>P5.01</t>
        </is>
      </c>
      <c r="B67" s="9" t="inlineStr">
        <is>
          <t>Row 5 interface</t>
        </is>
      </c>
      <c r="C67" s="9" t="inlineStr">
        <is>
          <t>I/O remote interface, optical, 110-220 V DC</t>
        </is>
      </c>
      <c r="D67" s="9" t="inlineStr">
        <is>
          <t>Siemens</t>
        </is>
      </c>
      <c r="E67" s="9" t="inlineStr">
        <is>
          <t>CI-8533</t>
        </is>
      </c>
      <c r="F67" s="9" t="inlineStr">
        <is>
          <t>To confirm</t>
        </is>
      </c>
      <c r="G67" s="9" t="inlineStr">
        <is>
          <t>To confirm with supplier</t>
        </is>
      </c>
      <c r="H67" s="9" t="n">
        <v>1</v>
      </c>
      <c r="I67" s="9" t="inlineStr">
        <is>
          <t>pc</t>
        </is>
      </c>
      <c r="J67" s="10">
        <f>IF(Summary!$I$30="","",Summary!$I$30)</f>
        <v/>
      </c>
      <c r="K67" s="10">
        <f>IF(OR(J67="",H67=""),"",H67*J67)</f>
        <v/>
      </c>
      <c r="L67" s="9" t="inlineStr">
        <is>
          <t>BESS yard</t>
        </is>
      </c>
      <c r="M67" s="9" t="inlineStr"/>
      <c r="N67" s="9" t="inlineStr">
        <is>
          <t>P5</t>
        </is>
      </c>
      <c r="O67" s="9" t="inlineStr">
        <is>
          <t>CI8533</t>
        </is>
      </c>
    </row>
    <row r="68">
      <c r="A68" s="9" t="inlineStr">
        <is>
          <t>P5.02</t>
        </is>
      </c>
      <c r="B68" s="9" t="inlineStr">
        <is>
          <t>R5-DI01, R5-DI02</t>
        </is>
      </c>
      <c r="C68" s="9" t="inlineStr">
        <is>
          <t>Digital input, 2 x 8 inputs, 110 V DC</t>
        </is>
      </c>
      <c r="D68" s="9" t="inlineStr">
        <is>
          <t>Siemens</t>
        </is>
      </c>
      <c r="E68" s="9" t="inlineStr">
        <is>
          <t>DI-8112</t>
        </is>
      </c>
      <c r="F68" s="9" t="inlineStr">
        <is>
          <t>6MF2811-2AA00</t>
        </is>
      </c>
      <c r="G68" s="9" t="inlineStr">
        <is>
          <t>Checked</t>
        </is>
      </c>
      <c r="H68" s="9" t="n">
        <v>2</v>
      </c>
      <c r="I68" s="9" t="inlineStr">
        <is>
          <t>pc</t>
        </is>
      </c>
      <c r="J68" s="10">
        <f>IF(Summary!$I$9="","",Summary!$I$9)</f>
        <v/>
      </c>
      <c r="K68" s="10">
        <f>IF(OR(J68="",H68=""),"",H68*J68)</f>
        <v/>
      </c>
      <c r="L68" s="9" t="inlineStr">
        <is>
          <t>BESS yard</t>
        </is>
      </c>
      <c r="M68" s="9" t="inlineStr">
        <is>
          <t>Fire panel, BESS ACB, PV ACB, MCCBs, inverter TX. Spare 19 %: see I/O Check.</t>
        </is>
      </c>
      <c r="N68" s="9" t="inlineStr">
        <is>
          <t>P5</t>
        </is>
      </c>
      <c r="O68" s="9" t="inlineStr">
        <is>
          <t>DI8112</t>
        </is>
      </c>
    </row>
    <row r="69">
      <c r="A69" s="9" t="inlineStr">
        <is>
          <t>P5.03</t>
        </is>
      </c>
      <c r="B69" s="9" t="inlineStr">
        <is>
          <t>SW-BESS</t>
        </is>
      </c>
      <c r="C69" s="9" t="inlineStr">
        <is>
          <t>Managed field switch, 7 x RJ45 + 3 x gigabit combo/SFP</t>
        </is>
      </c>
      <c r="D69" s="9" t="inlineStr">
        <is>
          <t>Moxa</t>
        </is>
      </c>
      <c r="E69" s="9" t="inlineStr">
        <is>
          <t>EDS-510E</t>
        </is>
      </c>
      <c r="F69" s="9" t="inlineStr">
        <is>
          <t>EDS-510E-3GTXSFP</t>
        </is>
      </c>
      <c r="G69" s="9" t="inlineStr">
        <is>
          <t>From memory - confirm</t>
        </is>
      </c>
      <c r="H69" s="9" t="n">
        <v>1</v>
      </c>
      <c r="I69" s="9" t="inlineStr">
        <is>
          <t>pc</t>
        </is>
      </c>
      <c r="J69" s="10">
        <f>IF(Summary!$I$31="","",Summary!$I$31)</f>
        <v/>
      </c>
      <c r="K69" s="10">
        <f>IF(OR(J69="",H69=""),"",H69*J69)</f>
        <v/>
      </c>
      <c r="L69" s="9" t="inlineStr">
        <is>
          <t>BESS yard</t>
        </is>
      </c>
      <c r="M69" s="9" t="inlineStr">
        <is>
          <t>Mounted in the row 5 panel; Ethernet to the EMS in the container.</t>
        </is>
      </c>
      <c r="N69" s="9" t="inlineStr">
        <is>
          <t>P5</t>
        </is>
      </c>
      <c r="O69" s="9" t="inlineStr">
        <is>
          <t>FSW</t>
        </is>
      </c>
    </row>
    <row r="70">
      <c r="A70" s="9" t="inlineStr">
        <is>
          <t>P5.04</t>
        </is>
      </c>
      <c r="B70" s="9" t="inlineStr">
        <is>
          <t>SW-BESS ring ports</t>
        </is>
      </c>
      <c r="C70" s="9" t="inlineStr">
        <is>
          <t>SFP transceiver, gigabit, single-mode, LC</t>
        </is>
      </c>
      <c r="D70" s="9" t="inlineStr">
        <is>
          <t>Moxa</t>
        </is>
      </c>
      <c r="E70" s="9" t="inlineStr">
        <is>
          <t>SFP-1GLXLC</t>
        </is>
      </c>
      <c r="F70" s="9" t="inlineStr">
        <is>
          <t>SFP-1GLXLC</t>
        </is>
      </c>
      <c r="G70" s="9" t="inlineStr">
        <is>
          <t>From memory - confirm</t>
        </is>
      </c>
      <c r="H70" s="9" t="n">
        <v>2</v>
      </c>
      <c r="I70" s="9" t="inlineStr">
        <is>
          <t>pc</t>
        </is>
      </c>
      <c r="J70" s="10">
        <f>IF(Summary!$I$14="","",Summary!$I$14)</f>
        <v/>
      </c>
      <c r="K70" s="10">
        <f>IF(OR(J70="",H70=""),"",H70*J70)</f>
        <v/>
      </c>
      <c r="L70" s="9" t="inlineStr">
        <is>
          <t>BESS yard</t>
        </is>
      </c>
      <c r="M70" s="9" t="inlineStr"/>
      <c r="N70" s="9" t="inlineStr">
        <is>
          <t>P5</t>
        </is>
      </c>
      <c r="O70" s="9" t="inlineStr">
        <is>
          <t>SFP</t>
        </is>
      </c>
    </row>
    <row r="71">
      <c r="A71" s="9" t="inlineStr">
        <is>
          <t>P5.05</t>
        </is>
      </c>
      <c r="B71" s="9" t="inlineStr">
        <is>
          <t>Panel 24 V</t>
        </is>
      </c>
      <c r="C71" s="9" t="inlineStr">
        <is>
          <t>24 V DC power supply 5 A, input 85-264 V AC / 110-300 V DC</t>
        </is>
      </c>
      <c r="D71" s="9" t="inlineStr">
        <is>
          <t>Siemens</t>
        </is>
      </c>
      <c r="E71" s="9" t="inlineStr">
        <is>
          <t>SITOP PSU8200 24 V/5 A</t>
        </is>
      </c>
      <c r="F71" s="9" t="inlineStr">
        <is>
          <t>6EP1333-3BA10</t>
        </is>
      </c>
      <c r="G71" s="9" t="inlineStr">
        <is>
          <t>From memory - confirm</t>
        </is>
      </c>
      <c r="H71" s="9" t="n">
        <v>1</v>
      </c>
      <c r="I71" s="9" t="inlineStr">
        <is>
          <t>pc</t>
        </is>
      </c>
      <c r="J71" s="10">
        <f>IF(Summary!$I$33="","",Summary!$I$33)</f>
        <v/>
      </c>
      <c r="K71" s="10">
        <f>IF(OR(J71="",H71=""),"",H71*J71)</f>
        <v/>
      </c>
      <c r="L71" s="9" t="inlineStr">
        <is>
          <t>BESS yard</t>
        </is>
      </c>
      <c r="M71" s="9" t="inlineStr"/>
      <c r="N71" s="9" t="inlineStr">
        <is>
          <t>P5</t>
        </is>
      </c>
      <c r="O71" s="9" t="inlineStr">
        <is>
          <t>PSU5</t>
        </is>
      </c>
    </row>
    <row r="72">
      <c r="A72" s="9" t="inlineStr">
        <is>
          <t>P5.06</t>
        </is>
      </c>
      <c r="B72" s="9" t="inlineStr">
        <is>
          <t>Fibre termination</t>
        </is>
      </c>
      <c r="C72" s="9" t="inlineStr">
        <is>
          <t>Fibre splice box, DIN rail, 12 x LC</t>
        </is>
      </c>
      <c r="D72" s="9" t="inlineStr">
        <is>
          <t>To suit</t>
        </is>
      </c>
      <c r="E72" s="9" t="inlineStr">
        <is>
          <t>-</t>
        </is>
      </c>
      <c r="F72" s="9" t="inlineStr">
        <is>
          <t>-</t>
        </is>
      </c>
      <c r="G72" s="11" t="inlineStr">
        <is>
          <t>TBC</t>
        </is>
      </c>
      <c r="H72" s="9" t="n">
        <v>1</v>
      </c>
      <c r="I72" s="9" t="inlineStr">
        <is>
          <t>pc</t>
        </is>
      </c>
      <c r="J72" s="10">
        <f>IF(Summary!$I$34="","",Summary!$I$34)</f>
        <v/>
      </c>
      <c r="K72" s="10">
        <f>IF(OR(J72="",H72=""),"",H72*J72)</f>
        <v/>
      </c>
      <c r="L72" s="9" t="inlineStr">
        <is>
          <t>BESS yard</t>
        </is>
      </c>
      <c r="M72" s="9" t="inlineStr"/>
      <c r="N72" s="9" t="inlineStr">
        <is>
          <t>P5</t>
        </is>
      </c>
      <c r="O72" s="9" t="inlineStr">
        <is>
          <t>FSB</t>
        </is>
      </c>
    </row>
    <row r="73">
      <c r="A73" s="9" t="inlineStr">
        <is>
          <t>P5.07</t>
        </is>
      </c>
      <c r="B73" s="9" t="inlineStr">
        <is>
          <t>Row 5 panel</t>
        </is>
      </c>
      <c r="C73" s="9" t="inlineStr">
        <is>
          <t>Outdoor I/O panel, IP55 minimum, with sun shade</t>
        </is>
      </c>
      <c r="D73" s="9" t="inlineStr">
        <is>
          <t>Rittal</t>
        </is>
      </c>
      <c r="E73" s="9" t="inlineStr">
        <is>
          <t>AX</t>
        </is>
      </c>
      <c r="F73" s="9" t="inlineStr">
        <is>
          <t>Size to suit</t>
        </is>
      </c>
      <c r="G73" s="11" t="inlineStr">
        <is>
          <t>TBC</t>
        </is>
      </c>
      <c r="H73" s="9" t="n">
        <v>1</v>
      </c>
      <c r="I73" s="9" t="inlineStr">
        <is>
          <t>pc</t>
        </is>
      </c>
      <c r="J73" s="10">
        <f>IF(Summary!$I$35="","",Summary!$I$35)</f>
        <v/>
      </c>
      <c r="K73" s="10">
        <f>IF(OR(J73="",H73=""),"",H73*J73)</f>
        <v/>
      </c>
      <c r="L73" s="9" t="inlineStr">
        <is>
          <t>BESS yard</t>
        </is>
      </c>
      <c r="M73" s="9" t="inlineStr"/>
      <c r="N73" s="9" t="inlineStr">
        <is>
          <t>P5</t>
        </is>
      </c>
      <c r="O73" s="9" t="inlineStr">
        <is>
          <t>AX</t>
        </is>
      </c>
    </row>
    <row r="74">
      <c r="A74" s="9" t="inlineStr">
        <is>
          <t>P5.08</t>
        </is>
      </c>
      <c r="B74" s="9" t="inlineStr">
        <is>
          <t>Row 5 panel</t>
        </is>
      </c>
      <c r="C74" s="9" t="inlineStr">
        <is>
          <t>Panel accessories: MCBs, terminals, surge protection, anti-condensation heater and thermostat, door switch, labels, wiring</t>
        </is>
      </c>
      <c r="D74" s="9" t="inlineStr">
        <is>
          <t>To suit</t>
        </is>
      </c>
      <c r="E74" s="9" t="inlineStr">
        <is>
          <t>-</t>
        </is>
      </c>
      <c r="F74" s="9" t="inlineStr">
        <is>
          <t>-</t>
        </is>
      </c>
      <c r="G74" s="11" t="inlineStr">
        <is>
          <t>TBC</t>
        </is>
      </c>
      <c r="H74" s="9" t="n">
        <v>1</v>
      </c>
      <c r="I74" s="9" t="inlineStr">
        <is>
          <t>lot</t>
        </is>
      </c>
      <c r="J74" s="10">
        <f>IF(Summary!$I$36="","",Summary!$I$36)</f>
        <v/>
      </c>
      <c r="K74" s="10">
        <f>IF(OR(J74="",H74=""),"",H74*J74)</f>
        <v/>
      </c>
      <c r="L74" s="9" t="inlineStr">
        <is>
          <t>BESS yard</t>
        </is>
      </c>
      <c r="M74" s="9" t="inlineStr"/>
      <c r="N74" s="9" t="inlineStr">
        <is>
          <t>P5</t>
        </is>
      </c>
      <c r="O74" s="9" t="inlineStr">
        <is>
          <t>ACC_P</t>
        </is>
      </c>
    </row>
    <row r="75">
      <c r="A75" s="12" t="inlineStr"/>
      <c r="B75" s="12" t="inlineStr">
        <is>
          <t>Subtotal P5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3">
        <f>SUM(K67:K74)</f>
        <v/>
      </c>
      <c r="L75" s="12" t="inlineStr"/>
      <c r="M75" s="12" t="inlineStr"/>
      <c r="N75" s="12" t="inlineStr"/>
      <c r="O75" s="12" t="inlineStr"/>
    </row>
    <row r="77">
      <c r="A77" s="6" t="inlineStr">
        <is>
          <t>P6</t>
        </is>
      </c>
      <c r="B77" s="6" t="inlineStr">
        <is>
          <t>Generator area I/O panel (row 6, SW-GEN)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8" t="n"/>
      <c r="N77" s="6" t="inlineStr"/>
      <c r="O77" s="6" t="inlineStr"/>
    </row>
    <row r="78">
      <c r="A78" s="9" t="inlineStr">
        <is>
          <t>P6.01</t>
        </is>
      </c>
      <c r="B78" s="9" t="inlineStr">
        <is>
          <t>Row 6 interface</t>
        </is>
      </c>
      <c r="C78" s="9" t="inlineStr">
        <is>
          <t>I/O remote interface, optical, 110-220 V DC</t>
        </is>
      </c>
      <c r="D78" s="9" t="inlineStr">
        <is>
          <t>Siemens</t>
        </is>
      </c>
      <c r="E78" s="9" t="inlineStr">
        <is>
          <t>CI-8533</t>
        </is>
      </c>
      <c r="F78" s="9" t="inlineStr">
        <is>
          <t>To confirm</t>
        </is>
      </c>
      <c r="G78" s="9" t="inlineStr">
        <is>
          <t>To confirm with supplier</t>
        </is>
      </c>
      <c r="H78" s="9" t="n">
        <v>1</v>
      </c>
      <c r="I78" s="9" t="inlineStr">
        <is>
          <t>pc</t>
        </is>
      </c>
      <c r="J78" s="10">
        <f>IF(Summary!$I$30="","",Summary!$I$30)</f>
        <v/>
      </c>
      <c r="K78" s="10">
        <f>IF(OR(J78="",H78=""),"",H78*J78)</f>
        <v/>
      </c>
      <c r="L78" s="9" t="inlineStr">
        <is>
          <t>Generator area</t>
        </is>
      </c>
      <c r="M78" s="9" t="inlineStr"/>
      <c r="N78" s="9" t="inlineStr">
        <is>
          <t>P6</t>
        </is>
      </c>
      <c r="O78" s="9" t="inlineStr">
        <is>
          <t>CI8533</t>
        </is>
      </c>
    </row>
    <row r="79">
      <c r="A79" s="9" t="inlineStr">
        <is>
          <t>P6.02</t>
        </is>
      </c>
      <c r="B79" s="9" t="inlineStr">
        <is>
          <t>R6-DI01, R6-DI02</t>
        </is>
      </c>
      <c r="C79" s="9" t="inlineStr">
        <is>
          <t>Digital input, 2 x 8 inputs, 110 V DC</t>
        </is>
      </c>
      <c r="D79" s="9" t="inlineStr">
        <is>
          <t>Siemens</t>
        </is>
      </c>
      <c r="E79" s="9" t="inlineStr">
        <is>
          <t>DI-8112</t>
        </is>
      </c>
      <c r="F79" s="9" t="inlineStr">
        <is>
          <t>6MF2811-2AA00</t>
        </is>
      </c>
      <c r="G79" s="9" t="inlineStr">
        <is>
          <t>Checked</t>
        </is>
      </c>
      <c r="H79" s="9" t="n">
        <v>2</v>
      </c>
      <c r="I79" s="9" t="inlineStr">
        <is>
          <t>pc</t>
        </is>
      </c>
      <c r="J79" s="10">
        <f>IF(Summary!$I$9="","",Summary!$I$9)</f>
        <v/>
      </c>
      <c r="K79" s="10">
        <f>IF(OR(J79="",H79=""),"",H79*J79)</f>
        <v/>
      </c>
      <c r="L79" s="9" t="inlineStr">
        <is>
          <t>Generator area</t>
        </is>
      </c>
      <c r="M79" s="9" t="inlineStr">
        <is>
          <t>DG1, DG2, step-up TX, LV ACB.</t>
        </is>
      </c>
      <c r="N79" s="9" t="inlineStr">
        <is>
          <t>P6</t>
        </is>
      </c>
      <c r="O79" s="9" t="inlineStr">
        <is>
          <t>DI8112</t>
        </is>
      </c>
    </row>
    <row r="80">
      <c r="A80" s="9" t="inlineStr">
        <is>
          <t>P6.03</t>
        </is>
      </c>
      <c r="B80" s="9" t="inlineStr">
        <is>
          <t>R6-AI01</t>
        </is>
      </c>
      <c r="C80" s="9" t="inlineStr">
        <is>
          <t>Analogue input, 4 x 4-20 mA</t>
        </is>
      </c>
      <c r="D80" s="9" t="inlineStr">
        <is>
          <t>Siemens</t>
        </is>
      </c>
      <c r="E80" s="9" t="inlineStr">
        <is>
          <t>AI-8320</t>
        </is>
      </c>
      <c r="F80" s="9" t="inlineStr">
        <is>
          <t>6MF2832-0AA00</t>
        </is>
      </c>
      <c r="G80" s="9" t="inlineStr">
        <is>
          <t>Checked</t>
        </is>
      </c>
      <c r="H80" s="9" t="n">
        <v>1</v>
      </c>
      <c r="I80" s="9" t="inlineStr">
        <is>
          <t>pc</t>
        </is>
      </c>
      <c r="J80" s="10">
        <f>IF(Summary!$I$12="","",Summary!$I$12)</f>
        <v/>
      </c>
      <c r="K80" s="10">
        <f>IF(OR(J80="",H80=""),"",H80*J80)</f>
        <v/>
      </c>
      <c r="L80" s="9" t="inlineStr">
        <is>
          <t>Generator area</t>
        </is>
      </c>
      <c r="M80" s="9" t="inlineStr">
        <is>
          <t>Fuel level DG1, DG2.</t>
        </is>
      </c>
      <c r="N80" s="9" t="inlineStr">
        <is>
          <t>P6</t>
        </is>
      </c>
      <c r="O80" s="9" t="inlineStr">
        <is>
          <t>AI8320</t>
        </is>
      </c>
    </row>
    <row r="81">
      <c r="A81" s="9" t="inlineStr">
        <is>
          <t>P6.04</t>
        </is>
      </c>
      <c r="B81" s="9" t="inlineStr">
        <is>
          <t>SW-GEN</t>
        </is>
      </c>
      <c r="C81" s="9" t="inlineStr">
        <is>
          <t>Managed field switch, 7 x RJ45 + 3 x gigabit combo/SFP</t>
        </is>
      </c>
      <c r="D81" s="9" t="inlineStr">
        <is>
          <t>Moxa</t>
        </is>
      </c>
      <c r="E81" s="9" t="inlineStr">
        <is>
          <t>EDS-510E</t>
        </is>
      </c>
      <c r="F81" s="9" t="inlineStr">
        <is>
          <t>EDS-510E-3GTXSFP</t>
        </is>
      </c>
      <c r="G81" s="9" t="inlineStr">
        <is>
          <t>From memory - confirm</t>
        </is>
      </c>
      <c r="H81" s="9" t="n">
        <v>1</v>
      </c>
      <c r="I81" s="9" t="inlineStr">
        <is>
          <t>pc</t>
        </is>
      </c>
      <c r="J81" s="10">
        <f>IF(Summary!$I$31="","",Summary!$I$31)</f>
        <v/>
      </c>
      <c r="K81" s="10">
        <f>IF(OR(J81="",H81=""),"",H81*J81)</f>
        <v/>
      </c>
      <c r="L81" s="9" t="inlineStr">
        <is>
          <t>Generator area</t>
        </is>
      </c>
      <c r="M81" s="9" t="inlineStr"/>
      <c r="N81" s="9" t="inlineStr">
        <is>
          <t>P6</t>
        </is>
      </c>
      <c r="O81" s="9" t="inlineStr">
        <is>
          <t>FSW</t>
        </is>
      </c>
    </row>
    <row r="82">
      <c r="A82" s="9" t="inlineStr">
        <is>
          <t>P6.05</t>
        </is>
      </c>
      <c r="B82" s="9" t="inlineStr">
        <is>
          <t>SW-GEN ring ports</t>
        </is>
      </c>
      <c r="C82" s="9" t="inlineStr">
        <is>
          <t>SFP transceiver, gigabit, single-mode, LC</t>
        </is>
      </c>
      <c r="D82" s="9" t="inlineStr">
        <is>
          <t>Moxa</t>
        </is>
      </c>
      <c r="E82" s="9" t="inlineStr">
        <is>
          <t>SFP-1GLXLC</t>
        </is>
      </c>
      <c r="F82" s="9" t="inlineStr">
        <is>
          <t>SFP-1GLXLC</t>
        </is>
      </c>
      <c r="G82" s="9" t="inlineStr">
        <is>
          <t>From memory - confirm</t>
        </is>
      </c>
      <c r="H82" s="9" t="n">
        <v>2</v>
      </c>
      <c r="I82" s="9" t="inlineStr">
        <is>
          <t>pc</t>
        </is>
      </c>
      <c r="J82" s="10">
        <f>IF(Summary!$I$14="","",Summary!$I$14)</f>
        <v/>
      </c>
      <c r="K82" s="10">
        <f>IF(OR(J82="",H82=""),"",H82*J82)</f>
        <v/>
      </c>
      <c r="L82" s="9" t="inlineStr">
        <is>
          <t>Generator area</t>
        </is>
      </c>
      <c r="M82" s="9" t="inlineStr"/>
      <c r="N82" s="9" t="inlineStr">
        <is>
          <t>P6</t>
        </is>
      </c>
      <c r="O82" s="9" t="inlineStr">
        <is>
          <t>SFP</t>
        </is>
      </c>
    </row>
    <row r="83">
      <c r="A83" s="9" t="inlineStr">
        <is>
          <t>P6.06</t>
        </is>
      </c>
      <c r="B83" s="9" t="inlineStr">
        <is>
          <t>Panel 24 V</t>
        </is>
      </c>
      <c r="C83" s="9" t="inlineStr">
        <is>
          <t>24 V DC power supply 5 A, input 85-264 V AC / 110-300 V DC</t>
        </is>
      </c>
      <c r="D83" s="9" t="inlineStr">
        <is>
          <t>Siemens</t>
        </is>
      </c>
      <c r="E83" s="9" t="inlineStr">
        <is>
          <t>SITOP PSU8200 24 V/5 A</t>
        </is>
      </c>
      <c r="F83" s="9" t="inlineStr">
        <is>
          <t>6EP1333-3BA10</t>
        </is>
      </c>
      <c r="G83" s="9" t="inlineStr">
        <is>
          <t>From memory - confirm</t>
        </is>
      </c>
      <c r="H83" s="9" t="n">
        <v>1</v>
      </c>
      <c r="I83" s="9" t="inlineStr">
        <is>
          <t>pc</t>
        </is>
      </c>
      <c r="J83" s="10">
        <f>IF(Summary!$I$33="","",Summary!$I$33)</f>
        <v/>
      </c>
      <c r="K83" s="10">
        <f>IF(OR(J83="",H83=""),"",H83*J83)</f>
        <v/>
      </c>
      <c r="L83" s="9" t="inlineStr">
        <is>
          <t>Generator area</t>
        </is>
      </c>
      <c r="M83" s="9" t="inlineStr"/>
      <c r="N83" s="9" t="inlineStr">
        <is>
          <t>P6</t>
        </is>
      </c>
      <c r="O83" s="9" t="inlineStr">
        <is>
          <t>PSU5</t>
        </is>
      </c>
    </row>
    <row r="84">
      <c r="A84" s="9" t="inlineStr">
        <is>
          <t>P6.07</t>
        </is>
      </c>
      <c r="B84" s="9" t="inlineStr">
        <is>
          <t>MGate-GEN (option)</t>
        </is>
      </c>
      <c r="C84" s="9" t="inlineStr">
        <is>
          <t>Modbus RTU to Modbus TCP gateway, 1 port</t>
        </is>
      </c>
      <c r="D84" s="9" t="inlineStr">
        <is>
          <t>Moxa</t>
        </is>
      </c>
      <c r="E84" s="9" t="inlineStr">
        <is>
          <t>MGate MB3170</t>
        </is>
      </c>
      <c r="F84" s="9" t="inlineStr">
        <is>
          <t>MB3170</t>
        </is>
      </c>
      <c r="G84" s="9" t="inlineStr">
        <is>
          <t>From memory - confirm</t>
        </is>
      </c>
      <c r="H84" s="9" t="n">
        <v>0</v>
      </c>
      <c r="I84" s="9" t="inlineStr">
        <is>
          <t>pc</t>
        </is>
      </c>
      <c r="J84" s="10">
        <f>IF(Summary!$I$32="","",Summary!$I$32)</f>
        <v/>
      </c>
      <c r="K84" s="10">
        <f>IF(OR(J84="",H84=""),"",H84*J84)</f>
        <v/>
      </c>
      <c r="L84" s="9" t="inlineStr">
        <is>
          <t>Generator area</t>
        </is>
      </c>
      <c r="M84" s="9" t="inlineStr">
        <is>
          <t>Only if the generator controllers are RS485 only (open point 3). Quantity 0 until confirmed.</t>
        </is>
      </c>
      <c r="N84" s="9" t="inlineStr">
        <is>
          <t>P6</t>
        </is>
      </c>
      <c r="O84" s="9" t="inlineStr">
        <is>
          <t>MGATE</t>
        </is>
      </c>
    </row>
    <row r="85">
      <c r="A85" s="9" t="inlineStr">
        <is>
          <t>P6.08</t>
        </is>
      </c>
      <c r="B85" s="9" t="inlineStr">
        <is>
          <t>Fibre termination</t>
        </is>
      </c>
      <c r="C85" s="9" t="inlineStr">
        <is>
          <t>Fibre splice box, DIN rail, 12 x LC</t>
        </is>
      </c>
      <c r="D85" s="9" t="inlineStr">
        <is>
          <t>To suit</t>
        </is>
      </c>
      <c r="E85" s="9" t="inlineStr">
        <is>
          <t>-</t>
        </is>
      </c>
      <c r="F85" s="9" t="inlineStr">
        <is>
          <t>-</t>
        </is>
      </c>
      <c r="G85" s="11" t="inlineStr">
        <is>
          <t>TBC</t>
        </is>
      </c>
      <c r="H85" s="9" t="n">
        <v>1</v>
      </c>
      <c r="I85" s="9" t="inlineStr">
        <is>
          <t>pc</t>
        </is>
      </c>
      <c r="J85" s="10">
        <f>IF(Summary!$I$34="","",Summary!$I$34)</f>
        <v/>
      </c>
      <c r="K85" s="10">
        <f>IF(OR(J85="",H85=""),"",H85*J85)</f>
        <v/>
      </c>
      <c r="L85" s="9" t="inlineStr">
        <is>
          <t>Generator area</t>
        </is>
      </c>
      <c r="M85" s="9" t="inlineStr"/>
      <c r="N85" s="9" t="inlineStr">
        <is>
          <t>P6</t>
        </is>
      </c>
      <c r="O85" s="9" t="inlineStr">
        <is>
          <t>FSB</t>
        </is>
      </c>
    </row>
    <row r="86">
      <c r="A86" s="9" t="inlineStr">
        <is>
          <t>P6.09</t>
        </is>
      </c>
      <c r="B86" s="9" t="inlineStr">
        <is>
          <t>Row 6 panel</t>
        </is>
      </c>
      <c r="C86" s="9" t="inlineStr">
        <is>
          <t>Outdoor I/O panel, IP55 minimum, with sun shade</t>
        </is>
      </c>
      <c r="D86" s="9" t="inlineStr">
        <is>
          <t>Rittal</t>
        </is>
      </c>
      <c r="E86" s="9" t="inlineStr">
        <is>
          <t>AX</t>
        </is>
      </c>
      <c r="F86" s="9" t="inlineStr">
        <is>
          <t>Size to suit</t>
        </is>
      </c>
      <c r="G86" s="11" t="inlineStr">
        <is>
          <t>TBC</t>
        </is>
      </c>
      <c r="H86" s="9" t="n">
        <v>1</v>
      </c>
      <c r="I86" s="9" t="inlineStr">
        <is>
          <t>pc</t>
        </is>
      </c>
      <c r="J86" s="10">
        <f>IF(Summary!$I$35="","",Summary!$I$35)</f>
        <v/>
      </c>
      <c r="K86" s="10">
        <f>IF(OR(J86="",H86=""),"",H86*J86)</f>
        <v/>
      </c>
      <c r="L86" s="9" t="inlineStr">
        <is>
          <t>Generator area</t>
        </is>
      </c>
      <c r="M86" s="9" t="inlineStr"/>
      <c r="N86" s="9" t="inlineStr">
        <is>
          <t>P6</t>
        </is>
      </c>
      <c r="O86" s="9" t="inlineStr">
        <is>
          <t>AX</t>
        </is>
      </c>
    </row>
    <row r="87">
      <c r="A87" s="9" t="inlineStr">
        <is>
          <t>P6.10</t>
        </is>
      </c>
      <c r="B87" s="9" t="inlineStr">
        <is>
          <t>Row 6 panel</t>
        </is>
      </c>
      <c r="C87" s="9" t="inlineStr">
        <is>
          <t>Panel accessories: MCBs, terminals, surge protection, anti-condensation heater and thermostat, door switch, labels, wiring</t>
        </is>
      </c>
      <c r="D87" s="9" t="inlineStr">
        <is>
          <t>To suit</t>
        </is>
      </c>
      <c r="E87" s="9" t="inlineStr">
        <is>
          <t>-</t>
        </is>
      </c>
      <c r="F87" s="9" t="inlineStr">
        <is>
          <t>-</t>
        </is>
      </c>
      <c r="G87" s="11" t="inlineStr">
        <is>
          <t>TBC</t>
        </is>
      </c>
      <c r="H87" s="9" t="n">
        <v>1</v>
      </c>
      <c r="I87" s="9" t="inlineStr">
        <is>
          <t>lot</t>
        </is>
      </c>
      <c r="J87" s="10">
        <f>IF(Summary!$I$36="","",Summary!$I$36)</f>
        <v/>
      </c>
      <c r="K87" s="10">
        <f>IF(OR(J87="",H87=""),"",H87*J87)</f>
        <v/>
      </c>
      <c r="L87" s="9" t="inlineStr">
        <is>
          <t>Generator area</t>
        </is>
      </c>
      <c r="M87" s="9" t="inlineStr"/>
      <c r="N87" s="9" t="inlineStr">
        <is>
          <t>P6</t>
        </is>
      </c>
      <c r="O87" s="9" t="inlineStr">
        <is>
          <t>ACC_P</t>
        </is>
      </c>
    </row>
    <row r="88">
      <c r="A88" s="12" t="inlineStr"/>
      <c r="B88" s="12" t="inlineStr">
        <is>
          <t>Subtotal P6</t>
        </is>
      </c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3">
        <f>SUM(K78:K87)</f>
        <v/>
      </c>
      <c r="L88" s="12" t="inlineStr"/>
      <c r="M88" s="12" t="inlineStr"/>
      <c r="N88" s="12" t="inlineStr"/>
      <c r="O88" s="12" t="inlineStr"/>
    </row>
    <row r="90">
      <c r="A90" s="6" t="inlineStr">
        <is>
          <t>P7</t>
        </is>
      </c>
      <c r="B90" s="6" t="inlineStr">
        <is>
          <t>Inverter MV station network enclosure (SW-MV)</t>
        </is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8" t="n"/>
      <c r="N90" s="6" t="inlineStr"/>
      <c r="O90" s="6" t="inlineStr"/>
    </row>
    <row r="91">
      <c r="A91" s="9" t="inlineStr">
        <is>
          <t>P7.01</t>
        </is>
      </c>
      <c r="B91" s="9" t="inlineStr">
        <is>
          <t>SW-MV</t>
        </is>
      </c>
      <c r="C91" s="9" t="inlineStr">
        <is>
          <t>Managed field switch, 7 x RJ45 + 3 x gigabit combo/SFP</t>
        </is>
      </c>
      <c r="D91" s="9" t="inlineStr">
        <is>
          <t>Moxa</t>
        </is>
      </c>
      <c r="E91" s="9" t="inlineStr">
        <is>
          <t>EDS-510E</t>
        </is>
      </c>
      <c r="F91" s="9" t="inlineStr">
        <is>
          <t>EDS-510E-3GTXSFP</t>
        </is>
      </c>
      <c r="G91" s="9" t="inlineStr">
        <is>
          <t>From memory - confirm</t>
        </is>
      </c>
      <c r="H91" s="9" t="n">
        <v>1</v>
      </c>
      <c r="I91" s="9" t="inlineStr">
        <is>
          <t>pc</t>
        </is>
      </c>
      <c r="J91" s="10">
        <f>IF(Summary!$I$31="","",Summary!$I$31)</f>
        <v/>
      </c>
      <c r="K91" s="10">
        <f>IF(OR(J91="",H91=""),"",H91*J91)</f>
        <v/>
      </c>
      <c r="L91" s="9" t="inlineStr">
        <is>
          <t>Inverter MV station</t>
        </is>
      </c>
      <c r="M91" s="9" t="inlineStr">
        <is>
          <t>PLC box and blue'Log XM.</t>
        </is>
      </c>
      <c r="N91" s="9" t="inlineStr">
        <is>
          <t>P7</t>
        </is>
      </c>
      <c r="O91" s="9" t="inlineStr">
        <is>
          <t>FSW</t>
        </is>
      </c>
    </row>
    <row r="92">
      <c r="A92" s="9" t="inlineStr">
        <is>
          <t>P7.02</t>
        </is>
      </c>
      <c r="B92" s="9" t="inlineStr">
        <is>
          <t>SW-MV ring ports</t>
        </is>
      </c>
      <c r="C92" s="9" t="inlineStr">
        <is>
          <t>SFP transceiver, gigabit, single-mode, LC</t>
        </is>
      </c>
      <c r="D92" s="9" t="inlineStr">
        <is>
          <t>Moxa</t>
        </is>
      </c>
      <c r="E92" s="9" t="inlineStr">
        <is>
          <t>SFP-1GLXLC</t>
        </is>
      </c>
      <c r="F92" s="9" t="inlineStr">
        <is>
          <t>SFP-1GLXLC</t>
        </is>
      </c>
      <c r="G92" s="9" t="inlineStr">
        <is>
          <t>From memory - confirm</t>
        </is>
      </c>
      <c r="H92" s="9" t="n">
        <v>2</v>
      </c>
      <c r="I92" s="9" t="inlineStr">
        <is>
          <t>pc</t>
        </is>
      </c>
      <c r="J92" s="10">
        <f>IF(Summary!$I$14="","",Summary!$I$14)</f>
        <v/>
      </c>
      <c r="K92" s="10">
        <f>IF(OR(J92="",H92=""),"",H92*J92)</f>
        <v/>
      </c>
      <c r="L92" s="9" t="inlineStr">
        <is>
          <t>Inverter MV station</t>
        </is>
      </c>
      <c r="M92" s="9" t="inlineStr"/>
      <c r="N92" s="9" t="inlineStr">
        <is>
          <t>P7</t>
        </is>
      </c>
      <c r="O92" s="9" t="inlineStr">
        <is>
          <t>SFP</t>
        </is>
      </c>
    </row>
    <row r="93">
      <c r="A93" s="9" t="inlineStr">
        <is>
          <t>P7.03</t>
        </is>
      </c>
      <c r="B93" s="9" t="inlineStr">
        <is>
          <t>Enclosure 24 V</t>
        </is>
      </c>
      <c r="C93" s="9" t="inlineStr">
        <is>
          <t>24 V DC power supply 5 A, input 85-264 V AC / 110-300 V DC</t>
        </is>
      </c>
      <c r="D93" s="9" t="inlineStr">
        <is>
          <t>Siemens</t>
        </is>
      </c>
      <c r="E93" s="9" t="inlineStr">
        <is>
          <t>SITOP PSU8200 24 V/5 A</t>
        </is>
      </c>
      <c r="F93" s="9" t="inlineStr">
        <is>
          <t>6EP1333-3BA10</t>
        </is>
      </c>
      <c r="G93" s="9" t="inlineStr">
        <is>
          <t>From memory - confirm</t>
        </is>
      </c>
      <c r="H93" s="9" t="n">
        <v>1</v>
      </c>
      <c r="I93" s="9" t="inlineStr">
        <is>
          <t>pc</t>
        </is>
      </c>
      <c r="J93" s="10">
        <f>IF(Summary!$I$33="","",Summary!$I$33)</f>
        <v/>
      </c>
      <c r="K93" s="10">
        <f>IF(OR(J93="",H93=""),"",H93*J93)</f>
        <v/>
      </c>
      <c r="L93" s="9" t="inlineStr">
        <is>
          <t>Inverter MV station</t>
        </is>
      </c>
      <c r="M93" s="9" t="inlineStr"/>
      <c r="N93" s="9" t="inlineStr">
        <is>
          <t>P7</t>
        </is>
      </c>
      <c r="O93" s="9" t="inlineStr">
        <is>
          <t>PSU5</t>
        </is>
      </c>
    </row>
    <row r="94">
      <c r="A94" s="9" t="inlineStr">
        <is>
          <t>P7.04</t>
        </is>
      </c>
      <c r="B94" s="9" t="inlineStr">
        <is>
          <t>Fibre termination</t>
        </is>
      </c>
      <c r="C94" s="9" t="inlineStr">
        <is>
          <t>Fibre splice box, DIN rail, 12 x LC</t>
        </is>
      </c>
      <c r="D94" s="9" t="inlineStr">
        <is>
          <t>To suit</t>
        </is>
      </c>
      <c r="E94" s="9" t="inlineStr">
        <is>
          <t>-</t>
        </is>
      </c>
      <c r="F94" s="9" t="inlineStr">
        <is>
          <t>-</t>
        </is>
      </c>
      <c r="G94" s="11" t="inlineStr">
        <is>
          <t>TBC</t>
        </is>
      </c>
      <c r="H94" s="9" t="n">
        <v>1</v>
      </c>
      <c r="I94" s="9" t="inlineStr">
        <is>
          <t>pc</t>
        </is>
      </c>
      <c r="J94" s="10">
        <f>IF(Summary!$I$34="","",Summary!$I$34)</f>
        <v/>
      </c>
      <c r="K94" s="10">
        <f>IF(OR(J94="",H94=""),"",H94*J94)</f>
        <v/>
      </c>
      <c r="L94" s="9" t="inlineStr">
        <is>
          <t>Inverter MV station</t>
        </is>
      </c>
      <c r="M94" s="9" t="inlineStr"/>
      <c r="N94" s="9" t="inlineStr">
        <is>
          <t>P7</t>
        </is>
      </c>
      <c r="O94" s="9" t="inlineStr">
        <is>
          <t>FSB</t>
        </is>
      </c>
    </row>
    <row r="95">
      <c r="A95" s="9" t="inlineStr">
        <is>
          <t>P7.05</t>
        </is>
      </c>
      <c r="B95" s="9" t="inlineStr">
        <is>
          <t>SW-MV enclosure</t>
        </is>
      </c>
      <c r="C95" s="9" t="inlineStr">
        <is>
          <t>Small wall enclosure for field switch, IP55</t>
        </is>
      </c>
      <c r="D95" s="9" t="inlineStr">
        <is>
          <t>Rittal</t>
        </is>
      </c>
      <c r="E95" s="9" t="inlineStr">
        <is>
          <t>AX</t>
        </is>
      </c>
      <c r="F95" s="9" t="inlineStr">
        <is>
          <t>Size to suit</t>
        </is>
      </c>
      <c r="G95" s="11" t="inlineStr">
        <is>
          <t>TBC</t>
        </is>
      </c>
      <c r="H95" s="9" t="n">
        <v>1</v>
      </c>
      <c r="I95" s="9" t="inlineStr">
        <is>
          <t>pc</t>
        </is>
      </c>
      <c r="J95" s="10">
        <f>IF(Summary!$I$37="","",Summary!$I$37)</f>
        <v/>
      </c>
      <c r="K95" s="10">
        <f>IF(OR(J95="",H95=""),"",H95*J95)</f>
        <v/>
      </c>
      <c r="L95" s="9" t="inlineStr">
        <is>
          <t>Inverter MV station</t>
        </is>
      </c>
      <c r="M95" s="9" t="inlineStr">
        <is>
          <t>Not in the Device List Rev 1. Omit if the switch fits in the PLC box cabinet.</t>
        </is>
      </c>
      <c r="N95" s="9" t="inlineStr">
        <is>
          <t>P7</t>
        </is>
      </c>
      <c r="O95" s="9" t="inlineStr">
        <is>
          <t>AXS</t>
        </is>
      </c>
    </row>
    <row r="96">
      <c r="A96" s="9" t="inlineStr">
        <is>
          <t>P7.06</t>
        </is>
      </c>
      <c r="B96" s="9" t="inlineStr">
        <is>
          <t>SW-MV enclosure</t>
        </is>
      </c>
      <c r="C96" s="9" t="inlineStr">
        <is>
          <t>Panel accessories: MCBs, terminals, surge protection, anti-condensation heater and thermostat, door switch, labels, wiring</t>
        </is>
      </c>
      <c r="D96" s="9" t="inlineStr">
        <is>
          <t>To suit</t>
        </is>
      </c>
      <c r="E96" s="9" t="inlineStr">
        <is>
          <t>-</t>
        </is>
      </c>
      <c r="F96" s="9" t="inlineStr">
        <is>
          <t>-</t>
        </is>
      </c>
      <c r="G96" s="11" t="inlineStr">
        <is>
          <t>TBC</t>
        </is>
      </c>
      <c r="H96" s="9" t="n">
        <v>1</v>
      </c>
      <c r="I96" s="9" t="inlineStr">
        <is>
          <t>lot</t>
        </is>
      </c>
      <c r="J96" s="10">
        <f>IF(Summary!$I$36="","",Summary!$I$36)</f>
        <v/>
      </c>
      <c r="K96" s="10">
        <f>IF(OR(J96="",H96=""),"",H96*J96)</f>
        <v/>
      </c>
      <c r="L96" s="9" t="inlineStr">
        <is>
          <t>Inverter MV station</t>
        </is>
      </c>
      <c r="M96" s="9" t="inlineStr"/>
      <c r="N96" s="9" t="inlineStr">
        <is>
          <t>P7</t>
        </is>
      </c>
      <c r="O96" s="9" t="inlineStr">
        <is>
          <t>ACC_P</t>
        </is>
      </c>
    </row>
    <row r="97">
      <c r="A97" s="12" t="inlineStr"/>
      <c r="B97" s="12" t="inlineStr">
        <is>
          <t>Subtotal P7</t>
        </is>
      </c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3">
        <f>SUM(K91:K96)</f>
        <v/>
      </c>
      <c r="L97" s="12" t="inlineStr"/>
      <c r="M97" s="12" t="inlineStr"/>
      <c r="N97" s="12" t="inlineStr"/>
      <c r="O97" s="12" t="inlineStr"/>
    </row>
    <row r="99">
      <c r="A99" s="6" t="inlineStr">
        <is>
          <t>C</t>
        </is>
      </c>
      <c r="B99" s="6" t="inlineStr">
        <is>
          <t>Cables and passive network material (site-wide; lengths from the cable route drawings)</t>
        </is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8" t="n"/>
      <c r="N99" s="6" t="inlineStr"/>
      <c r="O99" s="6" t="inlineStr"/>
    </row>
    <row r="100">
      <c r="A100" s="9" t="inlineStr">
        <is>
          <t>C.01</t>
        </is>
      </c>
      <c r="B100" s="9" t="inlineStr">
        <is>
          <t>3 routes</t>
        </is>
      </c>
      <c r="C100" s="9" t="inlineStr">
        <is>
          <t>Single-mode OS2 fibre cable, 12 core, armoured, outdoor</t>
        </is>
      </c>
      <c r="D100" s="9" t="inlineStr">
        <is>
          <t>To suit</t>
        </is>
      </c>
      <c r="E100" s="9" t="inlineStr">
        <is>
          <t>-</t>
        </is>
      </c>
      <c r="F100" s="9" t="inlineStr">
        <is>
          <t>-</t>
        </is>
      </c>
      <c r="G100" s="11" t="inlineStr">
        <is>
          <t>TBC</t>
        </is>
      </c>
      <c r="H100" s="11" t="n"/>
      <c r="I100" s="9" t="inlineStr">
        <is>
          <t>m</t>
        </is>
      </c>
      <c r="J100" s="10">
        <f>IF(Summary!$I$38="","",Summary!$I$38)</f>
        <v/>
      </c>
      <c r="K100" s="10">
        <f>IF(OR(J100="",H100=""),"",H100*J100)</f>
        <v/>
      </c>
      <c r="L100" s="9" t="inlineStr">
        <is>
          <t>Site</t>
        </is>
      </c>
      <c r="M100" s="9" t="inlineStr">
        <is>
          <t>Switchroom-President, switchroom-PM, President-PM; yard and generator area on spare cores. Length per route TBC.</t>
        </is>
      </c>
      <c r="N100" s="9" t="inlineStr">
        <is>
          <t>C</t>
        </is>
      </c>
      <c r="O100" s="9" t="inlineStr">
        <is>
          <t>FIBRE</t>
        </is>
      </c>
    </row>
    <row r="101">
      <c r="A101" s="9" t="inlineStr">
        <is>
          <t>C.02</t>
        </is>
      </c>
      <c r="B101" s="9" t="inlineStr">
        <is>
          <t>All fibre panels</t>
        </is>
      </c>
      <c r="C101" s="9" t="inlineStr">
        <is>
          <t>Fibre patch cord LC-LC single-mode duplex, 2 m</t>
        </is>
      </c>
      <c r="D101" s="9" t="inlineStr">
        <is>
          <t>To suit</t>
        </is>
      </c>
      <c r="E101" s="9" t="inlineStr">
        <is>
          <t>-</t>
        </is>
      </c>
      <c r="F101" s="9" t="inlineStr">
        <is>
          <t>-</t>
        </is>
      </c>
      <c r="G101" s="11" t="inlineStr">
        <is>
          <t>TBC</t>
        </is>
      </c>
      <c r="H101" s="9" t="n">
        <v>20</v>
      </c>
      <c r="I101" s="9" t="inlineStr">
        <is>
          <t>pc</t>
        </is>
      </c>
      <c r="J101" s="10">
        <f>IF(Summary!$I$39="","",Summary!$I$39)</f>
        <v/>
      </c>
      <c r="K101" s="10">
        <f>IF(OR(J101="",H101=""),"",H101*J101)</f>
        <v/>
      </c>
      <c r="L101" s="9" t="inlineStr">
        <is>
          <t>Site</t>
        </is>
      </c>
      <c r="M101" s="9" t="inlineStr"/>
      <c r="N101" s="9" t="inlineStr">
        <is>
          <t>C</t>
        </is>
      </c>
      <c r="O101" s="9" t="inlineStr">
        <is>
          <t>FCORD</t>
        </is>
      </c>
    </row>
    <row r="102">
      <c r="A102" s="9" t="inlineStr">
        <is>
          <t>C.03</t>
        </is>
      </c>
      <c r="B102" s="9" t="inlineStr">
        <is>
          <t>Control room, switchroom, stations</t>
        </is>
      </c>
      <c r="C102" s="9" t="inlineStr">
        <is>
          <t>Cat6 S/FTP industrial cable</t>
        </is>
      </c>
      <c r="D102" s="9" t="inlineStr">
        <is>
          <t>To suit</t>
        </is>
      </c>
      <c r="E102" s="9" t="inlineStr">
        <is>
          <t>-</t>
        </is>
      </c>
      <c r="F102" s="9" t="inlineStr">
        <is>
          <t>-</t>
        </is>
      </c>
      <c r="G102" s="11" t="inlineStr">
        <is>
          <t>TBC</t>
        </is>
      </c>
      <c r="H102" s="11" t="n"/>
      <c r="I102" s="9" t="inlineStr">
        <is>
          <t>m</t>
        </is>
      </c>
      <c r="J102" s="10">
        <f>IF(Summary!$I$40="","",Summary!$I$40)</f>
        <v/>
      </c>
      <c r="K102" s="10">
        <f>IF(OR(J102="",H102=""),"",H102*J102)</f>
        <v/>
      </c>
      <c r="L102" s="9" t="inlineStr">
        <is>
          <t>Site</t>
        </is>
      </c>
      <c r="M102" s="9" t="inlineStr">
        <is>
          <t>Length TBC. Control room to switchroom assumed under 90 m; otherwise fibre.</t>
        </is>
      </c>
      <c r="N102" s="9" t="inlineStr">
        <is>
          <t>C</t>
        </is>
      </c>
      <c r="O102" s="9" t="inlineStr">
        <is>
          <t>CAT6</t>
        </is>
      </c>
    </row>
    <row r="103">
      <c r="A103" s="9" t="inlineStr">
        <is>
          <t>C.04</t>
        </is>
      </c>
      <c r="B103" s="9" t="inlineStr">
        <is>
          <t>All panels</t>
        </is>
      </c>
      <c r="C103" s="9" t="inlineStr">
        <is>
          <t>Cat6 S/FTP patch cord, 1 to 3 m</t>
        </is>
      </c>
      <c r="D103" s="9" t="inlineStr">
        <is>
          <t>To suit</t>
        </is>
      </c>
      <c r="E103" s="9" t="inlineStr">
        <is>
          <t>-</t>
        </is>
      </c>
      <c r="F103" s="9" t="inlineStr">
        <is>
          <t>-</t>
        </is>
      </c>
      <c r="G103" s="11" t="inlineStr">
        <is>
          <t>TBC</t>
        </is>
      </c>
      <c r="H103" s="9" t="n">
        <v>40</v>
      </c>
      <c r="I103" s="9" t="inlineStr">
        <is>
          <t>pc</t>
        </is>
      </c>
      <c r="J103" s="10">
        <f>IF(Summary!$I$41="","",Summary!$I$41)</f>
        <v/>
      </c>
      <c r="K103" s="10">
        <f>IF(OR(J103="",H103=""),"",H103*J103)</f>
        <v/>
      </c>
      <c r="L103" s="9" t="inlineStr">
        <is>
          <t>Site</t>
        </is>
      </c>
      <c r="M103" s="9" t="inlineStr"/>
      <c r="N103" s="9" t="inlineStr">
        <is>
          <t>C</t>
        </is>
      </c>
      <c r="O103" s="9" t="inlineStr">
        <is>
          <t>PCORD</t>
        </is>
      </c>
    </row>
    <row r="104">
      <c r="A104" s="9" t="inlineStr">
        <is>
          <t>C.05</t>
        </is>
      </c>
      <c r="B104" s="9" t="inlineStr">
        <is>
          <t>Field connections</t>
        </is>
      </c>
      <c r="C104" s="9" t="inlineStr">
        <is>
          <t>Shielded field RJ45 connector</t>
        </is>
      </c>
      <c r="D104" s="9" t="inlineStr">
        <is>
          <t>To suit</t>
        </is>
      </c>
      <c r="E104" s="9" t="inlineStr">
        <is>
          <t>-</t>
        </is>
      </c>
      <c r="F104" s="9" t="inlineStr">
        <is>
          <t>-</t>
        </is>
      </c>
      <c r="G104" s="11" t="inlineStr">
        <is>
          <t>TBC</t>
        </is>
      </c>
      <c r="H104" s="9" t="n">
        <v>30</v>
      </c>
      <c r="I104" s="9" t="inlineStr">
        <is>
          <t>pc</t>
        </is>
      </c>
      <c r="J104" s="10">
        <f>IF(Summary!$I$42="","",Summary!$I$42)</f>
        <v/>
      </c>
      <c r="K104" s="10">
        <f>IF(OR(J104="",H104=""),"",H104*J104)</f>
        <v/>
      </c>
      <c r="L104" s="9" t="inlineStr">
        <is>
          <t>Site</t>
        </is>
      </c>
      <c r="M104" s="9" t="inlineStr"/>
      <c r="N104" s="9" t="inlineStr">
        <is>
          <t>C</t>
        </is>
      </c>
      <c r="O104" s="9" t="inlineStr">
        <is>
          <t>RJ45</t>
        </is>
      </c>
    </row>
    <row r="105">
      <c r="A105" s="9" t="inlineStr">
        <is>
          <t>C.06</t>
        </is>
      </c>
      <c r="B105" s="9" t="inlineStr">
        <is>
          <t>MGate to ST260E</t>
        </is>
      </c>
      <c r="C105" s="9" t="inlineStr">
        <is>
          <t>RS485 cable, 2-pair shielded twisted pair, 120 ohm</t>
        </is>
      </c>
      <c r="D105" s="9" t="inlineStr">
        <is>
          <t>To suit</t>
        </is>
      </c>
      <c r="E105" s="9" t="inlineStr">
        <is>
          <t>-</t>
        </is>
      </c>
      <c r="F105" s="9" t="inlineStr">
        <is>
          <t>-</t>
        </is>
      </c>
      <c r="G105" s="11" t="inlineStr">
        <is>
          <t>TBC</t>
        </is>
      </c>
      <c r="H105" s="11" t="n"/>
      <c r="I105" s="9" t="inlineStr">
        <is>
          <t>m</t>
        </is>
      </c>
      <c r="J105" s="10">
        <f>IF(Summary!$I$43="","",Summary!$I$43)</f>
        <v/>
      </c>
      <c r="K105" s="10">
        <f>IF(OR(J105="",H105=""),"",H105*J105)</f>
        <v/>
      </c>
      <c r="L105" s="9" t="inlineStr">
        <is>
          <t>Site</t>
        </is>
      </c>
      <c r="M105" s="9" t="inlineStr">
        <is>
          <t>Short runs inside the stations. Length TBC.</t>
        </is>
      </c>
      <c r="N105" s="9" t="inlineStr">
        <is>
          <t>C</t>
        </is>
      </c>
      <c r="O105" s="9" t="inlineStr">
        <is>
          <t>RS485</t>
        </is>
      </c>
    </row>
    <row r="106">
      <c r="A106" s="9" t="inlineStr">
        <is>
          <t>C.07</t>
        </is>
      </c>
      <c r="B106" s="9" t="inlineStr">
        <is>
          <t>Hardwired I/O</t>
        </is>
      </c>
      <c r="C106" s="9" t="inlineStr">
        <is>
          <t>Control cable, multicore 1.0 mm2, screened, for hardwired I/O</t>
        </is>
      </c>
      <c r="D106" s="9" t="inlineStr">
        <is>
          <t>To suit</t>
        </is>
      </c>
      <c r="E106" s="9" t="inlineStr">
        <is>
          <t>-</t>
        </is>
      </c>
      <c r="F106" s="9" t="inlineStr">
        <is>
          <t>-</t>
        </is>
      </c>
      <c r="G106" s="11" t="inlineStr">
        <is>
          <t>TBC</t>
        </is>
      </c>
      <c r="H106" s="11" t="n"/>
      <c r="I106" s="9" t="inlineStr">
        <is>
          <t>m</t>
        </is>
      </c>
      <c r="J106" s="10">
        <f>IF(Summary!$I$44="","",Summary!$I$44)</f>
        <v/>
      </c>
      <c r="K106" s="10">
        <f>IF(OR(J106="",H106=""),"",H106*J106)</f>
        <v/>
      </c>
      <c r="L106" s="9" t="inlineStr">
        <is>
          <t>Site</t>
        </is>
      </c>
      <c r="M106" s="9" t="inlineStr">
        <is>
          <t>244 hardwired signals. Length per cable schedule TBC.</t>
        </is>
      </c>
      <c r="N106" s="9" t="inlineStr">
        <is>
          <t>C</t>
        </is>
      </c>
      <c r="O106" s="9" t="inlineStr">
        <is>
          <t>CTRL</t>
        </is>
      </c>
    </row>
    <row r="107">
      <c r="A107" s="12" t="inlineStr"/>
      <c r="B107" s="12" t="inlineStr">
        <is>
          <t>Subtotal C</t>
        </is>
      </c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3">
        <f>SUM(K100:K106)</f>
        <v/>
      </c>
      <c r="L107" s="12" t="inlineStr"/>
      <c r="M107" s="12" t="inlineStr"/>
      <c r="N107" s="12" t="inlineStr"/>
      <c r="O107" s="12" t="inlineStr"/>
    </row>
    <row r="109">
      <c r="A109" s="6" t="inlineStr">
        <is>
          <t>S</t>
        </is>
      </c>
      <c r="B109" s="6" t="inlineStr">
        <is>
          <t>Software and licences</t>
        </is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8" t="n"/>
      <c r="N109" s="6" t="inlineStr"/>
      <c r="O109" s="6" t="inlineStr"/>
    </row>
    <row r="110">
      <c r="A110" s="9" t="inlineStr">
        <is>
          <t>S.01</t>
        </is>
      </c>
      <c r="B110" s="9" t="inlineStr">
        <is>
          <t>SRV-A, SRV-B</t>
        </is>
      </c>
      <c r="C110" s="9" t="inlineStr">
        <is>
          <t>Substation SCADA, redundant server pair, about 1,000 data points, IEC 60870-5-104, two user roles</t>
        </is>
      </c>
      <c r="D110" s="9" t="inlineStr">
        <is>
          <t>Siemens</t>
        </is>
      </c>
      <c r="E110" s="9" t="inlineStr">
        <is>
          <t>SICAM SCC</t>
        </is>
      </c>
      <c r="F110" s="9" t="inlineStr">
        <is>
          <t>By quotation</t>
        </is>
      </c>
      <c r="G110" s="9" t="inlineStr">
        <is>
          <t>To confirm with supplier</t>
        </is>
      </c>
      <c r="H110" s="9" t="n">
        <v>1</v>
      </c>
      <c r="I110" s="9" t="inlineStr">
        <is>
          <t>lic</t>
        </is>
      </c>
      <c r="J110" s="10">
        <f>IF(Summary!$I$45="","",Summary!$I$45)</f>
        <v/>
      </c>
      <c r="K110" s="10">
        <f>IF(OR(J110="",H110=""),"",H110*J110)</f>
        <v/>
      </c>
      <c r="L110" s="9" t="inlineStr">
        <is>
          <t>SCADA servers and stations</t>
        </is>
      </c>
      <c r="M110" s="9" t="inlineStr">
        <is>
          <t>707 signals today plus about 30 % growth.</t>
        </is>
      </c>
      <c r="N110" s="9" t="inlineStr">
        <is>
          <t>S</t>
        </is>
      </c>
      <c r="O110" s="9" t="inlineStr">
        <is>
          <t>SCC</t>
        </is>
      </c>
    </row>
    <row r="111">
      <c r="A111" s="9" t="inlineStr">
        <is>
          <t>S.02</t>
        </is>
      </c>
      <c r="B111" s="9" t="inlineStr">
        <is>
          <t>OWS-01</t>
        </is>
      </c>
      <c r="C111" s="9" t="inlineStr">
        <is>
          <t>SICAM SCC client licence for the operator workstation</t>
        </is>
      </c>
      <c r="D111" s="9" t="inlineStr">
        <is>
          <t>Siemens</t>
        </is>
      </c>
      <c r="E111" s="9" t="inlineStr">
        <is>
          <t>SICAM SCC client</t>
        </is>
      </c>
      <c r="F111" s="9" t="inlineStr">
        <is>
          <t>By quotation</t>
        </is>
      </c>
      <c r="G111" s="9" t="inlineStr">
        <is>
          <t>To confirm with supplier</t>
        </is>
      </c>
      <c r="H111" s="9" t="n">
        <v>1</v>
      </c>
      <c r="I111" s="9" t="inlineStr">
        <is>
          <t>lic</t>
        </is>
      </c>
      <c r="J111" s="10">
        <f>IF(Summary!$I$46="","",Summary!$I$46)</f>
        <v/>
      </c>
      <c r="K111" s="10">
        <f>IF(OR(J111="",H111=""),"",H111*J111)</f>
        <v/>
      </c>
      <c r="L111" s="9" t="inlineStr">
        <is>
          <t>SCADA servers and stations</t>
        </is>
      </c>
      <c r="M111" s="9" t="inlineStr">
        <is>
          <t>Confirm whether the operator station runs as a client or as a web client.</t>
        </is>
      </c>
      <c r="N111" s="9" t="inlineStr">
        <is>
          <t>S</t>
        </is>
      </c>
      <c r="O111" s="9" t="inlineStr">
        <is>
          <t>SCCC</t>
        </is>
      </c>
    </row>
    <row r="112">
      <c r="A112" s="9" t="inlineStr">
        <is>
          <t>S.03</t>
        </is>
      </c>
      <c r="B112" s="9" t="inlineStr">
        <is>
          <t>ENG-01</t>
        </is>
      </c>
      <c r="C112" s="9" t="inlineStr">
        <is>
          <t>Controller engineering tool</t>
        </is>
      </c>
      <c r="D112" s="9" t="inlineStr">
        <is>
          <t>Siemens</t>
        </is>
      </c>
      <c r="E112" s="9" t="inlineStr">
        <is>
          <t>SICAM Device Manager</t>
        </is>
      </c>
      <c r="F112" s="9" t="inlineStr">
        <is>
          <t>By quotation</t>
        </is>
      </c>
      <c r="G112" s="9" t="inlineStr">
        <is>
          <t>To confirm with supplier</t>
        </is>
      </c>
      <c r="H112" s="9" t="n">
        <v>1</v>
      </c>
      <c r="I112" s="9" t="inlineStr">
        <is>
          <t>lic</t>
        </is>
      </c>
      <c r="J112" s="10">
        <f>IF(Summary!$I$47="","",Summary!$I$47)</f>
        <v/>
      </c>
      <c r="K112" s="10">
        <f>IF(OR(J112="",H112=""),"",H112*J112)</f>
        <v/>
      </c>
      <c r="L112" s="9" t="inlineStr">
        <is>
          <t>SCADA servers and stations</t>
        </is>
      </c>
      <c r="M112" s="9" t="inlineStr"/>
      <c r="N112" s="9" t="inlineStr">
        <is>
          <t>S</t>
        </is>
      </c>
      <c r="O112" s="9" t="inlineStr">
        <is>
          <t>DM</t>
        </is>
      </c>
    </row>
    <row r="113">
      <c r="A113" s="9" t="inlineStr">
        <is>
          <t>S.04</t>
        </is>
      </c>
      <c r="B113" s="9" t="inlineStr">
        <is>
          <t>SRV-A, SRV-B</t>
        </is>
      </c>
      <c r="C113" s="9" t="inlineStr">
        <is>
          <t>Server operating system</t>
        </is>
      </c>
      <c r="D113" s="9" t="inlineStr">
        <is>
          <t>Microsoft</t>
        </is>
      </c>
      <c r="E113" s="9" t="inlineStr">
        <is>
          <t>Windows Server Standard</t>
        </is>
      </c>
      <c r="F113" s="9" t="inlineStr">
        <is>
          <t>OEM with the IPC</t>
        </is>
      </c>
      <c r="G113" s="9" t="inlineStr">
        <is>
          <t>To confirm with supplier</t>
        </is>
      </c>
      <c r="H113" s="9" t="n">
        <v>2</v>
      </c>
      <c r="I113" s="9" t="inlineStr">
        <is>
          <t>lic</t>
        </is>
      </c>
      <c r="J113" s="10">
        <f>IF(Summary!$I$48="","",Summary!$I$48)</f>
        <v/>
      </c>
      <c r="K113" s="10">
        <f>IF(OR(J113="",H113=""),"",H113*J113)</f>
        <v/>
      </c>
      <c r="L113" s="9" t="inlineStr">
        <is>
          <t>SCADA servers and stations</t>
        </is>
      </c>
      <c r="M113" s="9" t="inlineStr">
        <is>
          <t>Usually supplied with the IPC.</t>
        </is>
      </c>
      <c r="N113" s="9" t="inlineStr">
        <is>
          <t>S</t>
        </is>
      </c>
      <c r="O113" s="9" t="inlineStr">
        <is>
          <t>WINS</t>
        </is>
      </c>
    </row>
    <row r="114">
      <c r="A114" s="9" t="inlineStr">
        <is>
          <t>S.05</t>
        </is>
      </c>
      <c r="B114" s="9" t="inlineStr">
        <is>
          <t>SRV-A</t>
        </is>
      </c>
      <c r="C114" s="9" t="inlineStr">
        <is>
          <t>Network management, at least 16 nodes</t>
        </is>
      </c>
      <c r="D114" s="9" t="inlineStr">
        <is>
          <t>Moxa</t>
        </is>
      </c>
      <c r="E114" s="9" t="inlineStr">
        <is>
          <t>MXview One</t>
        </is>
      </c>
      <c r="F114" s="9" t="inlineStr">
        <is>
          <t>By quotation</t>
        </is>
      </c>
      <c r="G114" s="9" t="inlineStr">
        <is>
          <t>To confirm with supplier</t>
        </is>
      </c>
      <c r="H114" s="9" t="n">
        <v>1</v>
      </c>
      <c r="I114" s="9" t="inlineStr">
        <is>
          <t>lic</t>
        </is>
      </c>
      <c r="J114" s="10">
        <f>IF(Summary!$I$49="","",Summary!$I$49)</f>
        <v/>
      </c>
      <c r="K114" s="10">
        <f>IF(OR(J114="",H114=""),"",H114*J114)</f>
        <v/>
      </c>
      <c r="L114" s="9" t="inlineStr">
        <is>
          <t>SCADA servers and stations</t>
        </is>
      </c>
      <c r="M114" s="9" t="inlineStr">
        <is>
          <t>Covers 7 switches, firewall, gateways, meters, UPS.</t>
        </is>
      </c>
      <c r="N114" s="9" t="inlineStr">
        <is>
          <t>S</t>
        </is>
      </c>
      <c r="O114" s="9" t="inlineStr">
        <is>
          <t>NMS</t>
        </is>
      </c>
    </row>
    <row r="115">
      <c r="A115" s="9" t="inlineStr">
        <is>
          <t>S.06</t>
        </is>
      </c>
      <c r="B115" s="9" t="inlineStr">
        <is>
          <t>FW-01</t>
        </is>
      </c>
      <c r="C115" s="9" t="inlineStr">
        <is>
          <t>Firewall security services and support, 3 years</t>
        </is>
      </c>
      <c r="D115" s="9" t="inlineStr">
        <is>
          <t>Fortinet</t>
        </is>
      </c>
      <c r="E115" s="9" t="inlineStr">
        <is>
          <t>FortiGate Rugged 60F bundle</t>
        </is>
      </c>
      <c r="F115" s="9" t="inlineStr">
        <is>
          <t>By quotation</t>
        </is>
      </c>
      <c r="G115" s="9" t="inlineStr">
        <is>
          <t>To confirm with supplier</t>
        </is>
      </c>
      <c r="H115" s="9" t="n">
        <v>1</v>
      </c>
      <c r="I115" s="9" t="inlineStr">
        <is>
          <t>lic</t>
        </is>
      </c>
      <c r="J115" s="10">
        <f>IF(Summary!$I$50="","",Summary!$I$50)</f>
        <v/>
      </c>
      <c r="K115" s="10">
        <f>IF(OR(J115="",H115=""),"",H115*J115)</f>
        <v/>
      </c>
      <c r="L115" s="9" t="inlineStr">
        <is>
          <t>SCADA servers and stations</t>
        </is>
      </c>
      <c r="M115" s="9" t="inlineStr">
        <is>
          <t>VPN client (FortiClient) is free.</t>
        </is>
      </c>
      <c r="N115" s="9" t="inlineStr">
        <is>
          <t>S</t>
        </is>
      </c>
      <c r="O115" s="9" t="inlineStr">
        <is>
          <t>FWLIC</t>
        </is>
      </c>
    </row>
    <row r="116">
      <c r="A116" s="12" t="inlineStr"/>
      <c r="B116" s="12" t="inlineStr">
        <is>
          <t>Subtotal S</t>
        </is>
      </c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/>
      <c r="J116" s="12" t="inlineStr"/>
      <c r="K116" s="13">
        <f>SUM(K110:K115)</f>
        <v/>
      </c>
      <c r="L116" s="12" t="inlineStr"/>
      <c r="M116" s="12" t="inlineStr"/>
      <c r="N116" s="12" t="inlineStr"/>
      <c r="O116" s="12" t="inlineStr"/>
    </row>
    <row r="118">
      <c r="A118" s="6" t="inlineStr">
        <is>
          <t>SP</t>
        </is>
      </c>
      <c r="B118" s="6" t="inlineStr">
        <is>
          <t>Recommended spare parts (commissioning and first two years)</t>
        </is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8" t="n"/>
      <c r="N118" s="6" t="inlineStr"/>
      <c r="O118" s="6" t="inlineStr"/>
    </row>
    <row r="119">
      <c r="A119" s="9" t="inlineStr">
        <is>
          <t>SP.01</t>
        </is>
      </c>
      <c r="B119" s="9" t="inlineStr">
        <is>
          <t>Spare</t>
        </is>
      </c>
      <c r="C119" s="9" t="inlineStr">
        <is>
          <t>Digital input, 2 x 8 inputs, 110 V DC</t>
        </is>
      </c>
      <c r="D119" s="9" t="inlineStr">
        <is>
          <t>Siemens</t>
        </is>
      </c>
      <c r="E119" s="9" t="inlineStr">
        <is>
          <t>DI-8112</t>
        </is>
      </c>
      <c r="F119" s="9" t="inlineStr">
        <is>
          <t>6MF2811-2AA00</t>
        </is>
      </c>
      <c r="G119" s="9" t="inlineStr">
        <is>
          <t>Checked</t>
        </is>
      </c>
      <c r="H119" s="9" t="n">
        <v>1</v>
      </c>
      <c r="I119" s="9" t="inlineStr">
        <is>
          <t>pc</t>
        </is>
      </c>
      <c r="J119" s="10">
        <f>IF(Summary!$I$9="","",Summary!$I$9)</f>
        <v/>
      </c>
      <c r="K119" s="10">
        <f>IF(OR(J119="",H119=""),"",H119*J119)</f>
        <v/>
      </c>
      <c r="L119" s="9" t="inlineStr">
        <is>
          <t>Store</t>
        </is>
      </c>
      <c r="M119" s="9" t="inlineStr"/>
      <c r="N119" s="9" t="inlineStr">
        <is>
          <t>SP</t>
        </is>
      </c>
      <c r="O119" s="9" t="inlineStr">
        <is>
          <t>DI8112</t>
        </is>
      </c>
    </row>
    <row r="120">
      <c r="A120" s="9" t="inlineStr">
        <is>
          <t>SP.02</t>
        </is>
      </c>
      <c r="B120" s="9" t="inlineStr">
        <is>
          <t>Spare</t>
        </is>
      </c>
      <c r="C120" s="9" t="inlineStr">
        <is>
          <t>Secured command output, 12 outputs, 1-out-of-n check</t>
        </is>
      </c>
      <c r="D120" s="9" t="inlineStr">
        <is>
          <t>Siemens</t>
        </is>
      </c>
      <c r="E120" s="9" t="inlineStr">
        <is>
          <t>DO-8221</t>
        </is>
      </c>
      <c r="F120" s="9" t="inlineStr">
        <is>
          <t>To confirm</t>
        </is>
      </c>
      <c r="G120" s="9" t="inlineStr">
        <is>
          <t>To confirm with supplier</t>
        </is>
      </c>
      <c r="H120" s="9" t="n">
        <v>1</v>
      </c>
      <c r="I120" s="9" t="inlineStr">
        <is>
          <t>pc</t>
        </is>
      </c>
      <c r="J120" s="10">
        <f>IF(Summary!$I$10="","",Summary!$I$10)</f>
        <v/>
      </c>
      <c r="K120" s="10">
        <f>IF(OR(J120="",H120=""),"",H120*J120)</f>
        <v/>
      </c>
      <c r="L120" s="9" t="inlineStr">
        <is>
          <t>Store</t>
        </is>
      </c>
      <c r="M120" s="9" t="inlineStr"/>
      <c r="N120" s="9" t="inlineStr">
        <is>
          <t>SP</t>
        </is>
      </c>
      <c r="O120" s="9" t="inlineStr">
        <is>
          <t>DO8221</t>
        </is>
      </c>
    </row>
    <row r="121">
      <c r="A121" s="9" t="inlineStr">
        <is>
          <t>SP.03</t>
        </is>
      </c>
      <c r="B121" s="9" t="inlineStr">
        <is>
          <t>Spare</t>
        </is>
      </c>
      <c r="C121" s="9" t="inlineStr">
        <is>
          <t>I/O remote interface, optical, 110-220 V DC</t>
        </is>
      </c>
      <c r="D121" s="9" t="inlineStr">
        <is>
          <t>Siemens</t>
        </is>
      </c>
      <c r="E121" s="9" t="inlineStr">
        <is>
          <t>CI-8533</t>
        </is>
      </c>
      <c r="F121" s="9" t="inlineStr">
        <is>
          <t>To confirm</t>
        </is>
      </c>
      <c r="G121" s="9" t="inlineStr">
        <is>
          <t>To confirm with supplier</t>
        </is>
      </c>
      <c r="H121" s="9" t="n">
        <v>1</v>
      </c>
      <c r="I121" s="9" t="inlineStr">
        <is>
          <t>pc</t>
        </is>
      </c>
      <c r="J121" s="10">
        <f>IF(Summary!$I$30="","",Summary!$I$30)</f>
        <v/>
      </c>
      <c r="K121" s="10">
        <f>IF(OR(J121="",H121=""),"",H121*J121)</f>
        <v/>
      </c>
      <c r="L121" s="9" t="inlineStr">
        <is>
          <t>Store</t>
        </is>
      </c>
      <c r="M121" s="9" t="inlineStr"/>
      <c r="N121" s="9" t="inlineStr">
        <is>
          <t>SP</t>
        </is>
      </c>
      <c r="O121" s="9" t="inlineStr">
        <is>
          <t>CI8533</t>
        </is>
      </c>
    </row>
    <row r="122">
      <c r="A122" s="9" t="inlineStr">
        <is>
          <t>SP.04</t>
        </is>
      </c>
      <c r="B122" s="9" t="inlineStr">
        <is>
          <t>Spare</t>
        </is>
      </c>
      <c r="C122" s="9" t="inlineStr">
        <is>
          <t>Power supply 110-220 V DC, 45 W</t>
        </is>
      </c>
      <c r="D122" s="9" t="inlineStr">
        <is>
          <t>Siemens</t>
        </is>
      </c>
      <c r="E122" s="9" t="inlineStr">
        <is>
          <t>PS-8642</t>
        </is>
      </c>
      <c r="F122" s="9" t="inlineStr">
        <is>
          <t>6MF2864-2AA00</t>
        </is>
      </c>
      <c r="G122" s="9" t="inlineStr">
        <is>
          <t>Checked</t>
        </is>
      </c>
      <c r="H122" s="9" t="n">
        <v>1</v>
      </c>
      <c r="I122" s="9" t="inlineStr">
        <is>
          <t>pc</t>
        </is>
      </c>
      <c r="J122" s="10">
        <f>IF(Summary!$I$4="","",Summary!$I$4)</f>
        <v/>
      </c>
      <c r="K122" s="10">
        <f>IF(OR(J122="",H122=""),"",H122*J122)</f>
        <v/>
      </c>
      <c r="L122" s="9" t="inlineStr">
        <is>
          <t>Store</t>
        </is>
      </c>
      <c r="M122" s="9" t="inlineStr"/>
      <c r="N122" s="9" t="inlineStr">
        <is>
          <t>SP</t>
        </is>
      </c>
      <c r="O122" s="9" t="inlineStr">
        <is>
          <t>PS8642</t>
        </is>
      </c>
    </row>
    <row r="123">
      <c r="A123" s="9" t="inlineStr">
        <is>
          <t>SP.05</t>
        </is>
      </c>
      <c r="B123" s="9" t="inlineStr">
        <is>
          <t>Spare</t>
        </is>
      </c>
      <c r="C123" s="9" t="inlineStr">
        <is>
          <t>SICAM flash card, 2 GB</t>
        </is>
      </c>
      <c r="D123" s="9" t="inlineStr">
        <is>
          <t>Siemens</t>
        </is>
      </c>
      <c r="E123" s="9" t="inlineStr">
        <is>
          <t>SICAM flash card</t>
        </is>
      </c>
      <c r="F123" s="9" t="inlineStr">
        <is>
          <t>6MF1213-1GA05-0AA0</t>
        </is>
      </c>
      <c r="G123" s="9" t="inlineStr">
        <is>
          <t>Checked</t>
        </is>
      </c>
      <c r="H123" s="9" t="n">
        <v>1</v>
      </c>
      <c r="I123" s="9" t="inlineStr">
        <is>
          <t>pc</t>
        </is>
      </c>
      <c r="J123" s="10">
        <f>IF(Summary!$I$6="","",Summary!$I$6)</f>
        <v/>
      </c>
      <c r="K123" s="10">
        <f>IF(OR(J123="",H123=""),"",H123*J123)</f>
        <v/>
      </c>
      <c r="L123" s="9" t="inlineStr">
        <is>
          <t>Store</t>
        </is>
      </c>
      <c r="M123" s="9" t="inlineStr">
        <is>
          <t>Keep a copy of the controller configuration on it.</t>
        </is>
      </c>
      <c r="N123" s="9" t="inlineStr">
        <is>
          <t>SP</t>
        </is>
      </c>
      <c r="O123" s="9" t="inlineStr">
        <is>
          <t>FLASH</t>
        </is>
      </c>
    </row>
    <row r="124">
      <c r="A124" s="9" t="inlineStr">
        <is>
          <t>SP.06</t>
        </is>
      </c>
      <c r="B124" s="9" t="inlineStr">
        <is>
          <t>Spare</t>
        </is>
      </c>
      <c r="C124" s="9" t="inlineStr">
        <is>
          <t>Managed field switch, 7 x RJ45 + 3 x gigabit combo/SFP</t>
        </is>
      </c>
      <c r="D124" s="9" t="inlineStr">
        <is>
          <t>Moxa</t>
        </is>
      </c>
      <c r="E124" s="9" t="inlineStr">
        <is>
          <t>EDS-510E</t>
        </is>
      </c>
      <c r="F124" s="9" t="inlineStr">
        <is>
          <t>EDS-510E-3GTXSFP</t>
        </is>
      </c>
      <c r="G124" s="9" t="inlineStr">
        <is>
          <t>From memory - confirm</t>
        </is>
      </c>
      <c r="H124" s="9" t="n">
        <v>1</v>
      </c>
      <c r="I124" s="9" t="inlineStr">
        <is>
          <t>pc</t>
        </is>
      </c>
      <c r="J124" s="10">
        <f>IF(Summary!$I$31="","",Summary!$I$31)</f>
        <v/>
      </c>
      <c r="K124" s="10">
        <f>IF(OR(J124="",H124=""),"",H124*J124)</f>
        <v/>
      </c>
      <c r="L124" s="9" t="inlineStr">
        <is>
          <t>Store</t>
        </is>
      </c>
      <c r="M124" s="9" t="inlineStr"/>
      <c r="N124" s="9" t="inlineStr">
        <is>
          <t>SP</t>
        </is>
      </c>
      <c r="O124" s="9" t="inlineStr">
        <is>
          <t>FSW</t>
        </is>
      </c>
    </row>
    <row r="125">
      <c r="A125" s="9" t="inlineStr">
        <is>
          <t>SP.07</t>
        </is>
      </c>
      <c r="B125" s="9" t="inlineStr">
        <is>
          <t>Spare</t>
        </is>
      </c>
      <c r="C125" s="9" t="inlineStr">
        <is>
          <t>SFP transceiver, gigabit, single-mode, LC</t>
        </is>
      </c>
      <c r="D125" s="9" t="inlineStr">
        <is>
          <t>Moxa</t>
        </is>
      </c>
      <c r="E125" s="9" t="inlineStr">
        <is>
          <t>SFP-1GLXLC</t>
        </is>
      </c>
      <c r="F125" s="9" t="inlineStr">
        <is>
          <t>SFP-1GLXLC</t>
        </is>
      </c>
      <c r="G125" s="9" t="inlineStr">
        <is>
          <t>From memory - confirm</t>
        </is>
      </c>
      <c r="H125" s="9" t="n">
        <v>2</v>
      </c>
      <c r="I125" s="9" t="inlineStr">
        <is>
          <t>pc</t>
        </is>
      </c>
      <c r="J125" s="10">
        <f>IF(Summary!$I$14="","",Summary!$I$14)</f>
        <v/>
      </c>
      <c r="K125" s="10">
        <f>IF(OR(J125="",H125=""),"",H125*J125)</f>
        <v/>
      </c>
      <c r="L125" s="9" t="inlineStr">
        <is>
          <t>Store</t>
        </is>
      </c>
      <c r="M125" s="9" t="inlineStr"/>
      <c r="N125" s="9" t="inlineStr">
        <is>
          <t>SP</t>
        </is>
      </c>
      <c r="O125" s="9" t="inlineStr">
        <is>
          <t>SFP</t>
        </is>
      </c>
    </row>
    <row r="126">
      <c r="A126" s="9" t="inlineStr">
        <is>
          <t>SP.08</t>
        </is>
      </c>
      <c r="B126" s="9" t="inlineStr">
        <is>
          <t>Spare</t>
        </is>
      </c>
      <c r="C126" s="9" t="inlineStr">
        <is>
          <t>24 V DC power supply 5 A, input 85-264 V AC / 110-300 V DC</t>
        </is>
      </c>
      <c r="D126" s="9" t="inlineStr">
        <is>
          <t>Siemens</t>
        </is>
      </c>
      <c r="E126" s="9" t="inlineStr">
        <is>
          <t>SITOP PSU8200 24 V/5 A</t>
        </is>
      </c>
      <c r="F126" s="9" t="inlineStr">
        <is>
          <t>6EP1333-3BA10</t>
        </is>
      </c>
      <c r="G126" s="9" t="inlineStr">
        <is>
          <t>From memory - confirm</t>
        </is>
      </c>
      <c r="H126" s="9" t="n">
        <v>1</v>
      </c>
      <c r="I126" s="9" t="inlineStr">
        <is>
          <t>pc</t>
        </is>
      </c>
      <c r="J126" s="10">
        <f>IF(Summary!$I$33="","",Summary!$I$33)</f>
        <v/>
      </c>
      <c r="K126" s="10">
        <f>IF(OR(J126="",H126=""),"",H126*J126)</f>
        <v/>
      </c>
      <c r="L126" s="9" t="inlineStr">
        <is>
          <t>Store</t>
        </is>
      </c>
      <c r="M126" s="9" t="inlineStr"/>
      <c r="N126" s="9" t="inlineStr">
        <is>
          <t>SP</t>
        </is>
      </c>
      <c r="O126" s="9" t="inlineStr">
        <is>
          <t>PSU5</t>
        </is>
      </c>
    </row>
    <row r="127">
      <c r="A127" s="9" t="inlineStr">
        <is>
          <t>SP.09</t>
        </is>
      </c>
      <c r="B127" s="9" t="inlineStr">
        <is>
          <t>Spare</t>
        </is>
      </c>
      <c r="C127" s="9" t="inlineStr">
        <is>
          <t>Modbus RTU to Modbus TCP gateway, 1 port</t>
        </is>
      </c>
      <c r="D127" s="9" t="inlineStr">
        <is>
          <t>Moxa</t>
        </is>
      </c>
      <c r="E127" s="9" t="inlineStr">
        <is>
          <t>MGate MB3170</t>
        </is>
      </c>
      <c r="F127" s="9" t="inlineStr">
        <is>
          <t>MB3170</t>
        </is>
      </c>
      <c r="G127" s="9" t="inlineStr">
        <is>
          <t>From memory - confirm</t>
        </is>
      </c>
      <c r="H127" s="9" t="n">
        <v>1</v>
      </c>
      <c r="I127" s="9" t="inlineStr">
        <is>
          <t>pc</t>
        </is>
      </c>
      <c r="J127" s="10">
        <f>IF(Summary!$I$32="","",Summary!$I$32)</f>
        <v/>
      </c>
      <c r="K127" s="10">
        <f>IF(OR(J127="",H127=""),"",H127*J127)</f>
        <v/>
      </c>
      <c r="L127" s="9" t="inlineStr">
        <is>
          <t>Store</t>
        </is>
      </c>
      <c r="M127" s="9" t="inlineStr"/>
      <c r="N127" s="9" t="inlineStr">
        <is>
          <t>SP</t>
        </is>
      </c>
      <c r="O127" s="9" t="inlineStr">
        <is>
          <t>MGATE</t>
        </is>
      </c>
    </row>
    <row r="128">
      <c r="A128" s="12" t="inlineStr"/>
      <c r="B128" s="12" t="inlineStr">
        <is>
          <t>Subtotal SP</t>
        </is>
      </c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3">
        <f>SUM(K119:K127)</f>
        <v/>
      </c>
      <c r="L128" s="12" t="inlineStr"/>
      <c r="M128" s="12" t="inlineStr"/>
      <c r="N128" s="12" t="inlineStr"/>
      <c r="O128" s="12" t="inlineStr"/>
    </row>
    <row r="130">
      <c r="A130" s="12" t="inlineStr"/>
      <c r="B130" s="12" t="inlineStr">
        <is>
          <t>Total materials</t>
        </is>
      </c>
      <c r="C130" s="12" t="inlineStr"/>
      <c r="D130" s="12" t="inlineStr"/>
      <c r="E130" s="12" t="inlineStr"/>
      <c r="F130" s="12" t="inlineStr"/>
      <c r="G130" s="12" t="inlineStr"/>
      <c r="H130" s="12" t="inlineStr"/>
      <c r="I130" s="12" t="inlineStr"/>
      <c r="J130" s="12" t="inlineStr"/>
      <c r="K130" s="13">
        <f>Summary!J51</f>
        <v/>
      </c>
      <c r="L130" s="12" t="inlineStr"/>
      <c r="M130" s="12" t="inlineStr"/>
      <c r="N130" s="12" t="inlineStr"/>
      <c r="O130" s="12" t="inlineStr"/>
    </row>
  </sheetData>
  <mergeCells count="10">
    <mergeCell ref="B38:M38"/>
    <mergeCell ref="B90:M90"/>
    <mergeCell ref="B3:M3"/>
    <mergeCell ref="B99:M99"/>
    <mergeCell ref="B66:M66"/>
    <mergeCell ref="B27:M27"/>
    <mergeCell ref="B118:M118"/>
    <mergeCell ref="B52:M52"/>
    <mergeCell ref="B77:M77"/>
    <mergeCell ref="B109:M10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24" customWidth="1" min="4" max="4"/>
    <col width="22" customWidth="1" min="5" max="5"/>
    <col width="22" customWidth="1" min="6" max="6"/>
    <col width="7" customWidth="1" min="7" max="7"/>
    <col width="10" customWidth="1" min="8" max="8"/>
    <col width="13" customWidth="1" min="9" max="9"/>
    <col width="15" customWidth="1" min="10" max="10"/>
    <col width="20" customWidth="1" min="11" max="11"/>
    <col hidden="1" width="4" customWidth="1" min="12" max="12"/>
  </cols>
  <sheetData>
    <row r="1">
      <c r="A1" s="1" t="inlineStr">
        <is>
          <t>Summary by order line</t>
        </is>
      </c>
      <c r="H1" t="inlineStr">
        <is>
          <t>Currency:</t>
        </is>
      </c>
      <c r="I1" s="4" t="inlineStr">
        <is>
          <t>[USD]</t>
        </is>
      </c>
    </row>
    <row r="2" ht="30" customHeight="1">
      <c r="A2" s="5" t="inlineStr">
        <is>
          <t>Line</t>
        </is>
      </c>
      <c r="B2" s="5" t="inlineStr">
        <is>
          <t>Description</t>
        </is>
      </c>
      <c r="C2" s="5" t="inlineStr">
        <is>
          <t>Manufacturer</t>
        </is>
      </c>
      <c r="D2" s="5" t="inlineStr">
        <is>
          <t>Model</t>
        </is>
      </c>
      <c r="E2" s="5" t="inlineStr">
        <is>
          <t>Order no.</t>
        </is>
      </c>
      <c r="F2" s="5" t="inlineStr">
        <is>
          <t>Number status</t>
        </is>
      </c>
      <c r="G2" s="5" t="inlineStr">
        <is>
          <t>Unit</t>
        </is>
      </c>
      <c r="H2" s="5" t="inlineStr">
        <is>
          <t>Total qty</t>
        </is>
      </c>
      <c r="I2" s="5" t="inlineStr">
        <is>
          <t>Unit price</t>
        </is>
      </c>
      <c r="J2" s="5" t="inlineStr">
        <is>
          <t>Total price</t>
        </is>
      </c>
      <c r="K2" s="5" t="inlineStr">
        <is>
          <t>Used in</t>
        </is>
      </c>
      <c r="L2" s="5" t="inlineStr">
        <is>
          <t>Key</t>
        </is>
      </c>
    </row>
    <row r="3">
      <c r="A3" s="9" t="n">
        <v>1</v>
      </c>
      <c r="B3" s="9" t="inlineStr">
        <is>
          <t>Processor module, SICAM A8000</t>
        </is>
      </c>
      <c r="C3" s="9" t="inlineStr">
        <is>
          <t>Siemens</t>
        </is>
      </c>
      <c r="D3" s="9" t="inlineStr">
        <is>
          <t>CP-8050</t>
        </is>
      </c>
      <c r="E3" s="9" t="inlineStr">
        <is>
          <t>6MF2805-0AA00</t>
        </is>
      </c>
      <c r="F3" s="9" t="inlineStr">
        <is>
          <t>Checked</t>
        </is>
      </c>
      <c r="G3" s="9" t="inlineStr">
        <is>
          <t>pc</t>
        </is>
      </c>
      <c r="H3" s="9">
        <f>IF(COUNTIFS('BOM by Panel'!$O$3:$O$137,L3,'BOM by Panel'!$H$3:$H$137,"&lt;&gt;")=0,"TBC",SUMIF('BOM by Panel'!$O$3:$O$137,L3,'BOM by Panel'!$H$3:$H$137))</f>
        <v/>
      </c>
      <c r="I3" s="14" t="n"/>
      <c r="J3" s="10">
        <f>IF(OR(I3="",H3="TBC"),"",H3*I3)</f>
        <v/>
      </c>
      <c r="K3" s="9" t="inlineStr">
        <is>
          <t>P1</t>
        </is>
      </c>
      <c r="L3" s="9" t="inlineStr">
        <is>
          <t>CP8050</t>
        </is>
      </c>
    </row>
    <row r="4">
      <c r="A4" s="9" t="n">
        <v>2</v>
      </c>
      <c r="B4" s="9" t="inlineStr">
        <is>
          <t>Power supply 110-220 V DC, 45 W</t>
        </is>
      </c>
      <c r="C4" s="9" t="inlineStr">
        <is>
          <t>Siemens</t>
        </is>
      </c>
      <c r="D4" s="9" t="inlineStr">
        <is>
          <t>PS-8642</t>
        </is>
      </c>
      <c r="E4" s="9" t="inlineStr">
        <is>
          <t>6MF2864-2AA00</t>
        </is>
      </c>
      <c r="F4" s="9" t="inlineStr">
        <is>
          <t>Checked</t>
        </is>
      </c>
      <c r="G4" s="9" t="inlineStr">
        <is>
          <t>pc</t>
        </is>
      </c>
      <c r="H4" s="9">
        <f>IF(COUNTIFS('BOM by Panel'!$O$3:$O$137,L4,'BOM by Panel'!$H$3:$H$137,"&lt;&gt;")=0,"TBC",SUMIF('BOM by Panel'!$O$3:$O$137,L4,'BOM by Panel'!$H$3:$H$137))</f>
        <v/>
      </c>
      <c r="I4" s="14" t="n"/>
      <c r="J4" s="10">
        <f>IF(OR(I4="",H4="TBC"),"",H4*I4)</f>
        <v/>
      </c>
      <c r="K4" s="9" t="inlineStr">
        <is>
          <t>P1, SP</t>
        </is>
      </c>
      <c r="L4" s="9" t="inlineStr">
        <is>
          <t>PS8642</t>
        </is>
      </c>
    </row>
    <row r="5">
      <c r="A5" s="9" t="n">
        <v>3</v>
      </c>
      <c r="B5" s="9" t="inlineStr">
        <is>
          <t>Ethernet interface, 5 x RJ45</t>
        </is>
      </c>
      <c r="C5" s="9" t="inlineStr">
        <is>
          <t>Siemens</t>
        </is>
      </c>
      <c r="D5" s="9" t="inlineStr">
        <is>
          <t>CI-8520</t>
        </is>
      </c>
      <c r="E5" s="9" t="inlineStr">
        <is>
          <t>6MF2852-0AA00</t>
        </is>
      </c>
      <c r="F5" s="9" t="inlineStr">
        <is>
          <t>Checked</t>
        </is>
      </c>
      <c r="G5" s="9" t="inlineStr">
        <is>
          <t>pc</t>
        </is>
      </c>
      <c r="H5" s="9">
        <f>IF(COUNTIFS('BOM by Panel'!$O$3:$O$137,L5,'BOM by Panel'!$H$3:$H$137,"&lt;&gt;")=0,"TBC",SUMIF('BOM by Panel'!$O$3:$O$137,L5,'BOM by Panel'!$H$3:$H$137))</f>
        <v/>
      </c>
      <c r="I5" s="14" t="n"/>
      <c r="J5" s="10">
        <f>IF(OR(I5="",H5="TBC"),"",H5*I5)</f>
        <v/>
      </c>
      <c r="K5" s="9" t="inlineStr">
        <is>
          <t>P1</t>
        </is>
      </c>
      <c r="L5" s="9" t="inlineStr">
        <is>
          <t>CI8520</t>
        </is>
      </c>
    </row>
    <row r="6">
      <c r="A6" s="9" t="n">
        <v>4</v>
      </c>
      <c r="B6" s="9" t="inlineStr">
        <is>
          <t>SICAM flash card, 2 GB</t>
        </is>
      </c>
      <c r="C6" s="9" t="inlineStr">
        <is>
          <t>Siemens</t>
        </is>
      </c>
      <c r="D6" s="9" t="inlineStr">
        <is>
          <t>SICAM flash card</t>
        </is>
      </c>
      <c r="E6" s="9" t="inlineStr">
        <is>
          <t>6MF1213-1GA05-0AA0</t>
        </is>
      </c>
      <c r="F6" s="9" t="inlineStr">
        <is>
          <t>Checked</t>
        </is>
      </c>
      <c r="G6" s="9" t="inlineStr">
        <is>
          <t>pc</t>
        </is>
      </c>
      <c r="H6" s="9">
        <f>IF(COUNTIFS('BOM by Panel'!$O$3:$O$137,L6,'BOM by Panel'!$H$3:$H$137,"&lt;&gt;")=0,"TBC",SUMIF('BOM by Panel'!$O$3:$O$137,L6,'BOM by Panel'!$H$3:$H$137))</f>
        <v/>
      </c>
      <c r="I6" s="14" t="n"/>
      <c r="J6" s="10">
        <f>IF(OR(I6="",H6="TBC"),"",H6*I6)</f>
        <v/>
      </c>
      <c r="K6" s="9" t="inlineStr">
        <is>
          <t>P1, SP</t>
        </is>
      </c>
      <c r="L6" s="9" t="inlineStr">
        <is>
          <t>FLASH</t>
        </is>
      </c>
    </row>
    <row r="7">
      <c r="A7" s="9" t="n">
        <v>5</v>
      </c>
      <c r="B7" s="9" t="inlineStr">
        <is>
          <t>Protocol licences for one CP-8050: IEC 60870-5-104 server, Modbus TCP client, IEC 61850 client, hot standby function</t>
        </is>
      </c>
      <c r="C7" s="9" t="inlineStr">
        <is>
          <t>Siemens</t>
        </is>
      </c>
      <c r="D7" s="9" t="inlineStr">
        <is>
          <t>CP-8050 licences</t>
        </is>
      </c>
      <c r="E7" s="9" t="inlineStr">
        <is>
          <t>By quotation</t>
        </is>
      </c>
      <c r="F7" s="9" t="inlineStr">
        <is>
          <t>To confirm with supplier</t>
        </is>
      </c>
      <c r="G7" s="9" t="inlineStr">
        <is>
          <t>set</t>
        </is>
      </c>
      <c r="H7" s="9">
        <f>IF(COUNTIFS('BOM by Panel'!$O$3:$O$137,L7,'BOM by Panel'!$H$3:$H$137,"&lt;&gt;")=0,"TBC",SUMIF('BOM by Panel'!$O$3:$O$137,L7,'BOM by Panel'!$H$3:$H$137))</f>
        <v/>
      </c>
      <c r="I7" s="14" t="n"/>
      <c r="J7" s="10">
        <f>IF(OR(I7="",H7="TBC"),"",H7*I7)</f>
        <v/>
      </c>
      <c r="K7" s="9" t="inlineStr">
        <is>
          <t>P1</t>
        </is>
      </c>
      <c r="L7" s="9" t="inlineStr">
        <is>
          <t>LIC</t>
        </is>
      </c>
    </row>
    <row r="8">
      <c r="A8" s="9" t="n">
        <v>6</v>
      </c>
      <c r="B8" s="9" t="inlineStr">
        <is>
          <t>I/O remote interface, electrical, 110-220 V DC</t>
        </is>
      </c>
      <c r="C8" s="9" t="inlineStr">
        <is>
          <t>Siemens</t>
        </is>
      </c>
      <c r="D8" s="9" t="inlineStr">
        <is>
          <t>CI-8532</t>
        </is>
      </c>
      <c r="E8" s="9" t="inlineStr">
        <is>
          <t>6MF2853-2AA00</t>
        </is>
      </c>
      <c r="F8" s="9" t="inlineStr">
        <is>
          <t>Checked</t>
        </is>
      </c>
      <c r="G8" s="9" t="inlineStr">
        <is>
          <t>pc</t>
        </is>
      </c>
      <c r="H8" s="9">
        <f>IF(COUNTIFS('BOM by Panel'!$O$3:$O$137,L8,'BOM by Panel'!$H$3:$H$137,"&lt;&gt;")=0,"TBC",SUMIF('BOM by Panel'!$O$3:$O$137,L8,'BOM by Panel'!$H$3:$H$137))</f>
        <v/>
      </c>
      <c r="I8" s="14" t="n"/>
      <c r="J8" s="10">
        <f>IF(OR(I8="",H8="TBC"),"",H8*I8)</f>
        <v/>
      </c>
      <c r="K8" s="9" t="inlineStr">
        <is>
          <t>P1</t>
        </is>
      </c>
      <c r="L8" s="9" t="inlineStr">
        <is>
          <t>CI8532</t>
        </is>
      </c>
    </row>
    <row r="9">
      <c r="A9" s="9" t="n">
        <v>7</v>
      </c>
      <c r="B9" s="9" t="inlineStr">
        <is>
          <t>Digital input, 2 x 8 inputs, 110 V DC</t>
        </is>
      </c>
      <c r="C9" s="9" t="inlineStr">
        <is>
          <t>Siemens</t>
        </is>
      </c>
      <c r="D9" s="9" t="inlineStr">
        <is>
          <t>DI-8112</t>
        </is>
      </c>
      <c r="E9" s="9" t="inlineStr">
        <is>
          <t>6MF2811-2AA00</t>
        </is>
      </c>
      <c r="F9" s="9" t="inlineStr">
        <is>
          <t>Checked</t>
        </is>
      </c>
      <c r="G9" s="9" t="inlineStr">
        <is>
          <t>pc</t>
        </is>
      </c>
      <c r="H9" s="9">
        <f>IF(COUNTIFS('BOM by Panel'!$O$3:$O$137,L9,'BOM by Panel'!$H$3:$H$137,"&lt;&gt;")=0,"TBC",SUMIF('BOM by Panel'!$O$3:$O$137,L9,'BOM by Panel'!$H$3:$H$137))</f>
        <v/>
      </c>
      <c r="I9" s="14" t="n"/>
      <c r="J9" s="10">
        <f>IF(OR(I9="",H9="TBC"),"",H9*I9)</f>
        <v/>
      </c>
      <c r="K9" s="9" t="inlineStr">
        <is>
          <t>P1, P3, P4, P5, P6, SP</t>
        </is>
      </c>
      <c r="L9" s="9" t="inlineStr">
        <is>
          <t>DI8112</t>
        </is>
      </c>
    </row>
    <row r="10">
      <c r="A10" s="9" t="n">
        <v>8</v>
      </c>
      <c r="B10" s="9" t="inlineStr">
        <is>
          <t>Secured command output, 12 outputs, 1-out-of-n check</t>
        </is>
      </c>
      <c r="C10" s="9" t="inlineStr">
        <is>
          <t>Siemens</t>
        </is>
      </c>
      <c r="D10" s="9" t="inlineStr">
        <is>
          <t>DO-8221</t>
        </is>
      </c>
      <c r="E10" s="9" t="inlineStr">
        <is>
          <t>To confirm</t>
        </is>
      </c>
      <c r="F10" s="9" t="inlineStr">
        <is>
          <t>To confirm with supplier</t>
        </is>
      </c>
      <c r="G10" s="9" t="inlineStr">
        <is>
          <t>pc</t>
        </is>
      </c>
      <c r="H10" s="9">
        <f>IF(COUNTIFS('BOM by Panel'!$O$3:$O$137,L10,'BOM by Panel'!$H$3:$H$137,"&lt;&gt;")=0,"TBC",SUMIF('BOM by Panel'!$O$3:$O$137,L10,'BOM by Panel'!$H$3:$H$137))</f>
        <v/>
      </c>
      <c r="I10" s="14" t="n"/>
      <c r="J10" s="10">
        <f>IF(OR(I10="",H10="TBC"),"",H10*I10)</f>
        <v/>
      </c>
      <c r="K10" s="9" t="inlineStr">
        <is>
          <t>P1, P3, P4, SP</t>
        </is>
      </c>
      <c r="L10" s="9" t="inlineStr">
        <is>
          <t>DO8221</t>
        </is>
      </c>
    </row>
    <row r="11">
      <c r="A11" s="9" t="n">
        <v>9</v>
      </c>
      <c r="B11" s="9" t="inlineStr">
        <is>
          <t>Digital output, 8 relays, 24-220 V DC / 230 V AC</t>
        </is>
      </c>
      <c r="C11" s="9" t="inlineStr">
        <is>
          <t>Siemens</t>
        </is>
      </c>
      <c r="D11" s="9" t="inlineStr">
        <is>
          <t>DO-8212</t>
        </is>
      </c>
      <c r="E11" s="9" t="inlineStr">
        <is>
          <t>6MF2821-2AA00</t>
        </is>
      </c>
      <c r="F11" s="9" t="inlineStr">
        <is>
          <t>Checked</t>
        </is>
      </c>
      <c r="G11" s="9" t="inlineStr">
        <is>
          <t>pc</t>
        </is>
      </c>
      <c r="H11" s="9">
        <f>IF(COUNTIFS('BOM by Panel'!$O$3:$O$137,L11,'BOM by Panel'!$H$3:$H$137,"&lt;&gt;")=0,"TBC",SUMIF('BOM by Panel'!$O$3:$O$137,L11,'BOM by Panel'!$H$3:$H$137))</f>
        <v/>
      </c>
      <c r="I11" s="14" t="n"/>
      <c r="J11" s="10">
        <f>IF(OR(I11="",H11="TBC"),"",H11*I11)</f>
        <v/>
      </c>
      <c r="K11" s="9" t="inlineStr">
        <is>
          <t>P1</t>
        </is>
      </c>
      <c r="L11" s="9" t="inlineStr">
        <is>
          <t>DO8212</t>
        </is>
      </c>
    </row>
    <row r="12">
      <c r="A12" s="9" t="n">
        <v>10</v>
      </c>
      <c r="B12" s="9" t="inlineStr">
        <is>
          <t>Analogue input, 4 x 4-20 mA</t>
        </is>
      </c>
      <c r="C12" s="9" t="inlineStr">
        <is>
          <t>Siemens</t>
        </is>
      </c>
      <c r="D12" s="9" t="inlineStr">
        <is>
          <t>AI-8320</t>
        </is>
      </c>
      <c r="E12" s="9" t="inlineStr">
        <is>
          <t>6MF2832-0AA00</t>
        </is>
      </c>
      <c r="F12" s="9" t="inlineStr">
        <is>
          <t>Checked</t>
        </is>
      </c>
      <c r="G12" s="9" t="inlineStr">
        <is>
          <t>pc</t>
        </is>
      </c>
      <c r="H12" s="9">
        <f>IF(COUNTIFS('BOM by Panel'!$O$3:$O$137,L12,'BOM by Panel'!$H$3:$H$137,"&lt;&gt;")=0,"TBC",SUMIF('BOM by Panel'!$O$3:$O$137,L12,'BOM by Panel'!$H$3:$H$137))</f>
        <v/>
      </c>
      <c r="I12" s="14" t="n"/>
      <c r="J12" s="10">
        <f>IF(OR(I12="",H12="TBC"),"",H12*I12)</f>
        <v/>
      </c>
      <c r="K12" s="9" t="inlineStr">
        <is>
          <t>P1, P6</t>
        </is>
      </c>
      <c r="L12" s="9" t="inlineStr">
        <is>
          <t>AI8320</t>
        </is>
      </c>
    </row>
    <row r="13">
      <c r="A13" s="9" t="n">
        <v>11</v>
      </c>
      <c r="B13" s="9" t="inlineStr">
        <is>
          <t>Managed core switch, 8 x RJ45 + 4 x gigabit SFP</t>
        </is>
      </c>
      <c r="C13" s="9" t="inlineStr">
        <is>
          <t>Moxa</t>
        </is>
      </c>
      <c r="D13" s="9" t="inlineStr">
        <is>
          <t>EDS-G512E</t>
        </is>
      </c>
      <c r="E13" s="9" t="inlineStr">
        <is>
          <t>EDS-G512E-4GSFP</t>
        </is>
      </c>
      <c r="F13" s="9" t="inlineStr">
        <is>
          <t>From memory - confirm</t>
        </is>
      </c>
      <c r="G13" s="9" t="inlineStr">
        <is>
          <t>pc</t>
        </is>
      </c>
      <c r="H13" s="9">
        <f>IF(COUNTIFS('BOM by Panel'!$O$3:$O$137,L13,'BOM by Panel'!$H$3:$H$137,"&lt;&gt;")=0,"TBC",SUMIF('BOM by Panel'!$O$3:$O$137,L13,'BOM by Panel'!$H$3:$H$137))</f>
        <v/>
      </c>
      <c r="I13" s="14" t="n"/>
      <c r="J13" s="10">
        <f>IF(OR(I13="",H13="TBC"),"",H13*I13)</f>
        <v/>
      </c>
      <c r="K13" s="9" t="inlineStr">
        <is>
          <t>P1</t>
        </is>
      </c>
      <c r="L13" s="9" t="inlineStr">
        <is>
          <t>CORE</t>
        </is>
      </c>
    </row>
    <row r="14">
      <c r="A14" s="9" t="n">
        <v>12</v>
      </c>
      <c r="B14" s="9" t="inlineStr">
        <is>
          <t>SFP transceiver, gigabit, single-mode, LC</t>
        </is>
      </c>
      <c r="C14" s="9" t="inlineStr">
        <is>
          <t>Moxa</t>
        </is>
      </c>
      <c r="D14" s="9" t="inlineStr">
        <is>
          <t>SFP-1GLXLC</t>
        </is>
      </c>
      <c r="E14" s="9" t="inlineStr">
        <is>
          <t>SFP-1GLXLC</t>
        </is>
      </c>
      <c r="F14" s="9" t="inlineStr">
        <is>
          <t>From memory - confirm</t>
        </is>
      </c>
      <c r="G14" s="9" t="inlineStr">
        <is>
          <t>pc</t>
        </is>
      </c>
      <c r="H14" s="9">
        <f>IF(COUNTIFS('BOM by Panel'!$O$3:$O$137,L14,'BOM by Panel'!$H$3:$H$137,"&lt;&gt;")=0,"TBC",SUMIF('BOM by Panel'!$O$3:$O$137,L14,'BOM by Panel'!$H$3:$H$137))</f>
        <v/>
      </c>
      <c r="I14" s="14" t="n"/>
      <c r="J14" s="10">
        <f>IF(OR(I14="",H14="TBC"),"",H14*I14)</f>
        <v/>
      </c>
      <c r="K14" s="9" t="inlineStr">
        <is>
          <t>P1, P3, P4, P5, P6, P7, SP</t>
        </is>
      </c>
      <c r="L14" s="9" t="inlineStr">
        <is>
          <t>SFP</t>
        </is>
      </c>
    </row>
    <row r="15">
      <c r="A15" s="9" t="n">
        <v>13</v>
      </c>
      <c r="B15" s="9" t="inlineStr">
        <is>
          <t>Rugged firewall with VPN</t>
        </is>
      </c>
      <c r="C15" s="9" t="inlineStr">
        <is>
          <t>Fortinet</t>
        </is>
      </c>
      <c r="D15" s="9" t="inlineStr">
        <is>
          <t>FortiGate Rugged 60F</t>
        </is>
      </c>
      <c r="E15" s="9" t="inlineStr">
        <is>
          <t>FGR-60F</t>
        </is>
      </c>
      <c r="F15" s="9" t="inlineStr">
        <is>
          <t>From memory - confirm</t>
        </is>
      </c>
      <c r="G15" s="9" t="inlineStr">
        <is>
          <t>pc</t>
        </is>
      </c>
      <c r="H15" s="9">
        <f>IF(COUNTIFS('BOM by Panel'!$O$3:$O$137,L15,'BOM by Panel'!$H$3:$H$137,"&lt;&gt;")=0,"TBC",SUMIF('BOM by Panel'!$O$3:$O$137,L15,'BOM by Panel'!$H$3:$H$137))</f>
        <v/>
      </c>
      <c r="I15" s="14" t="n"/>
      <c r="J15" s="10">
        <f>IF(OR(I15="",H15="TBC"),"",H15*I15)</f>
        <v/>
      </c>
      <c r="K15" s="9" t="inlineStr">
        <is>
          <t>P1</t>
        </is>
      </c>
      <c r="L15" s="9" t="inlineStr">
        <is>
          <t>FW</t>
        </is>
      </c>
    </row>
    <row r="16">
      <c r="A16" s="9" t="n">
        <v>14</v>
      </c>
      <c r="B16" s="9" t="inlineStr">
        <is>
          <t>GPS time server with antenna, cable and surge protector</t>
        </is>
      </c>
      <c r="C16" s="9" t="inlineStr">
        <is>
          <t>Meinberg</t>
        </is>
      </c>
      <c r="D16" s="9" t="inlineStr">
        <is>
          <t>LANTIME M300</t>
        </is>
      </c>
      <c r="E16" s="9" t="inlineStr">
        <is>
          <t>M300/GPS</t>
        </is>
      </c>
      <c r="F16" s="9" t="inlineStr">
        <is>
          <t>From memory - confirm</t>
        </is>
      </c>
      <c r="G16" s="9" t="inlineStr">
        <is>
          <t>set</t>
        </is>
      </c>
      <c r="H16" s="9">
        <f>IF(COUNTIFS('BOM by Panel'!$O$3:$O$137,L16,'BOM by Panel'!$H$3:$H$137,"&lt;&gt;")=0,"TBC",SUMIF('BOM by Panel'!$O$3:$O$137,L16,'BOM by Panel'!$H$3:$H$137))</f>
        <v/>
      </c>
      <c r="I16" s="14" t="n"/>
      <c r="J16" s="10">
        <f>IF(OR(I16="",H16="TBC"),"",H16*I16)</f>
        <v/>
      </c>
      <c r="K16" s="9" t="inlineStr">
        <is>
          <t>P1</t>
        </is>
      </c>
      <c r="L16" s="9" t="inlineStr">
        <is>
          <t>GPS</t>
        </is>
      </c>
    </row>
    <row r="17">
      <c r="A17" s="9" t="n">
        <v>15</v>
      </c>
      <c r="B17" s="9" t="inlineStr">
        <is>
          <t>24 V DC power supply 20 A, input 85-275 V AC / 88-350 V DC</t>
        </is>
      </c>
      <c r="C17" s="9" t="inlineStr">
        <is>
          <t>Siemens</t>
        </is>
      </c>
      <c r="D17" s="9" t="inlineStr">
        <is>
          <t>SITOP PSU8200 24 V/20 A</t>
        </is>
      </c>
      <c r="E17" s="9" t="inlineStr">
        <is>
          <t>6EP1336-3BA10</t>
        </is>
      </c>
      <c r="F17" s="9" t="inlineStr">
        <is>
          <t>Checked</t>
        </is>
      </c>
      <c r="G17" s="9" t="inlineStr">
        <is>
          <t>pc</t>
        </is>
      </c>
      <c r="H17" s="9">
        <f>IF(COUNTIFS('BOM by Panel'!$O$3:$O$137,L17,'BOM by Panel'!$H$3:$H$137,"&lt;&gt;")=0,"TBC",SUMIF('BOM by Panel'!$O$3:$O$137,L17,'BOM by Panel'!$H$3:$H$137))</f>
        <v/>
      </c>
      <c r="I17" s="14" t="n"/>
      <c r="J17" s="10">
        <f>IF(OR(I17="",H17="TBC"),"",H17*I17)</f>
        <v/>
      </c>
      <c r="K17" s="9" t="inlineStr">
        <is>
          <t>P1</t>
        </is>
      </c>
      <c r="L17" s="9" t="inlineStr">
        <is>
          <t>PSU20</t>
        </is>
      </c>
    </row>
    <row r="18">
      <c r="A18" s="9" t="n">
        <v>16</v>
      </c>
      <c r="B18" s="9" t="inlineStr">
        <is>
          <t>Power meter with Ethernet, Modbus TCP</t>
        </is>
      </c>
      <c r="C18" s="9" t="inlineStr">
        <is>
          <t>Schneider Electric</t>
        </is>
      </c>
      <c r="D18" s="9" t="inlineStr">
        <is>
          <t>PowerLogic PM5560</t>
        </is>
      </c>
      <c r="E18" s="9" t="inlineStr">
        <is>
          <t>METSEPM5560</t>
        </is>
      </c>
      <c r="F18" s="9" t="inlineStr">
        <is>
          <t>From memory - confirm</t>
        </is>
      </c>
      <c r="G18" s="9" t="inlineStr">
        <is>
          <t>pc</t>
        </is>
      </c>
      <c r="H18" s="9">
        <f>IF(COUNTIFS('BOM by Panel'!$O$3:$O$137,L18,'BOM by Panel'!$H$3:$H$137,"&lt;&gt;")=0,"TBC",SUMIF('BOM by Panel'!$O$3:$O$137,L18,'BOM by Panel'!$H$3:$H$137))</f>
        <v/>
      </c>
      <c r="I18" s="14" t="n"/>
      <c r="J18" s="10">
        <f>IF(OR(I18="",H18="TBC"),"",H18*I18)</f>
        <v/>
      </c>
      <c r="K18" s="9" t="inlineStr">
        <is>
          <t>P1, P3, P4</t>
        </is>
      </c>
      <c r="L18" s="9" t="inlineStr">
        <is>
          <t>PM5560</t>
        </is>
      </c>
    </row>
    <row r="19">
      <c r="A19" s="9" t="n">
        <v>17</v>
      </c>
      <c r="B19" s="9" t="inlineStr">
        <is>
          <t>Fibre patch panel, 24 x LC, rack or DIN</t>
        </is>
      </c>
      <c r="C19" s="9" t="inlineStr">
        <is>
          <t>To suit</t>
        </is>
      </c>
      <c r="D19" s="9" t="inlineStr">
        <is>
          <t>-</t>
        </is>
      </c>
      <c r="E19" s="9" t="inlineStr">
        <is>
          <t>-</t>
        </is>
      </c>
      <c r="F19" s="11" t="inlineStr">
        <is>
          <t>TBC</t>
        </is>
      </c>
      <c r="G19" s="9" t="inlineStr">
        <is>
          <t>pc</t>
        </is>
      </c>
      <c r="H19" s="9">
        <f>IF(COUNTIFS('BOM by Panel'!$O$3:$O$137,L19,'BOM by Panel'!$H$3:$H$137,"&lt;&gt;")=0,"TBC",SUMIF('BOM by Panel'!$O$3:$O$137,L19,'BOM by Panel'!$H$3:$H$137))</f>
        <v/>
      </c>
      <c r="I19" s="14" t="n"/>
      <c r="J19" s="10">
        <f>IF(OR(I19="",H19="TBC"),"",H19*I19)</f>
        <v/>
      </c>
      <c r="K19" s="9" t="inlineStr">
        <is>
          <t>P1</t>
        </is>
      </c>
      <c r="L19" s="9" t="inlineStr">
        <is>
          <t>FPP</t>
        </is>
      </c>
    </row>
    <row r="20">
      <c r="A20" s="9" t="n">
        <v>18</v>
      </c>
      <c r="B20" s="9" t="inlineStr">
        <is>
          <t>SCADA cabinet 800 x 2000 x 800 mm, with plinth</t>
        </is>
      </c>
      <c r="C20" s="9" t="inlineStr">
        <is>
          <t>Rittal</t>
        </is>
      </c>
      <c r="D20" s="9" t="inlineStr">
        <is>
          <t>VX25</t>
        </is>
      </c>
      <c r="E20" s="9" t="inlineStr">
        <is>
          <t>8808.000</t>
        </is>
      </c>
      <c r="F20" s="9" t="inlineStr">
        <is>
          <t>From memory - confirm</t>
        </is>
      </c>
      <c r="G20" s="9" t="inlineStr">
        <is>
          <t>pc</t>
        </is>
      </c>
      <c r="H20" s="9">
        <f>IF(COUNTIFS('BOM by Panel'!$O$3:$O$137,L20,'BOM by Panel'!$H$3:$H$137,"&lt;&gt;")=0,"TBC",SUMIF('BOM by Panel'!$O$3:$O$137,L20,'BOM by Panel'!$H$3:$H$137))</f>
        <v/>
      </c>
      <c r="I20" s="14" t="n"/>
      <c r="J20" s="10">
        <f>IF(OR(I20="",H20="TBC"),"",H20*I20)</f>
        <v/>
      </c>
      <c r="K20" s="9" t="inlineStr">
        <is>
          <t>P1</t>
        </is>
      </c>
      <c r="L20" s="9" t="inlineStr">
        <is>
          <t>VX25</t>
        </is>
      </c>
    </row>
    <row r="21">
      <c r="A21" s="9" t="n">
        <v>19</v>
      </c>
      <c r="B21" s="9" t="inlineStr">
        <is>
          <t>Cabinet accessories: MCBs, terminals, surge protection, fans and thermostat, lighting, door switch, labels, wiring</t>
        </is>
      </c>
      <c r="C21" s="9" t="inlineStr">
        <is>
          <t>To suit</t>
        </is>
      </c>
      <c r="D21" s="9" t="inlineStr">
        <is>
          <t>-</t>
        </is>
      </c>
      <c r="E21" s="9" t="inlineStr">
        <is>
          <t>-</t>
        </is>
      </c>
      <c r="F21" s="11" t="inlineStr">
        <is>
          <t>TBC</t>
        </is>
      </c>
      <c r="G21" s="9" t="inlineStr">
        <is>
          <t>lot</t>
        </is>
      </c>
      <c r="H21" s="9">
        <f>IF(COUNTIFS('BOM by Panel'!$O$3:$O$137,L21,'BOM by Panel'!$H$3:$H$137,"&lt;&gt;")=0,"TBC",SUMIF('BOM by Panel'!$O$3:$O$137,L21,'BOM by Panel'!$H$3:$H$137))</f>
        <v/>
      </c>
      <c r="I21" s="14" t="n"/>
      <c r="J21" s="10">
        <f>IF(OR(I21="",H21="TBC"),"",H21*I21)</f>
        <v/>
      </c>
      <c r="K21" s="9" t="inlineStr">
        <is>
          <t>P1</t>
        </is>
      </c>
      <c r="L21" s="9" t="inlineStr">
        <is>
          <t>ACC_C</t>
        </is>
      </c>
    </row>
    <row r="22">
      <c r="A22" s="9" t="n">
        <v>20</v>
      </c>
      <c r="B22" s="9" t="inlineStr">
        <is>
          <t>SCADA server, rack industrial PC, redundant power supplies and disks</t>
        </is>
      </c>
      <c r="C22" s="9" t="inlineStr">
        <is>
          <t>Siemens</t>
        </is>
      </c>
      <c r="D22" s="9" t="inlineStr">
        <is>
          <t>SIMATIC IPC647E</t>
        </is>
      </c>
      <c r="E22" s="9" t="inlineStr">
        <is>
          <t>Configured to order</t>
        </is>
      </c>
      <c r="F22" s="9" t="inlineStr">
        <is>
          <t>To confirm with supplier</t>
        </is>
      </c>
      <c r="G22" s="9" t="inlineStr">
        <is>
          <t>pc</t>
        </is>
      </c>
      <c r="H22" s="9">
        <f>IF(COUNTIFS('BOM by Panel'!$O$3:$O$137,L22,'BOM by Panel'!$H$3:$H$137,"&lt;&gt;")=0,"TBC",SUMIF('BOM by Panel'!$O$3:$O$137,L22,'BOM by Panel'!$H$3:$H$137))</f>
        <v/>
      </c>
      <c r="I22" s="14" t="n"/>
      <c r="J22" s="10">
        <f>IF(OR(I22="",H22="TBC"),"",H22*I22)</f>
        <v/>
      </c>
      <c r="K22" s="9" t="inlineStr">
        <is>
          <t>P2</t>
        </is>
      </c>
      <c r="L22" s="9" t="inlineStr">
        <is>
          <t>IPC</t>
        </is>
      </c>
    </row>
    <row r="23">
      <c r="A23" s="9" t="n">
        <v>21</v>
      </c>
      <c r="B23" s="9" t="inlineStr">
        <is>
          <t>19-inch rack 24U with rack console (monitor, keyboard, KVM)</t>
        </is>
      </c>
      <c r="C23" s="9" t="inlineStr">
        <is>
          <t>To suit</t>
        </is>
      </c>
      <c r="D23" s="9" t="inlineStr">
        <is>
          <t>-</t>
        </is>
      </c>
      <c r="E23" s="9" t="inlineStr">
        <is>
          <t>-</t>
        </is>
      </c>
      <c r="F23" s="11" t="inlineStr">
        <is>
          <t>TBC</t>
        </is>
      </c>
      <c r="G23" s="9" t="inlineStr">
        <is>
          <t>set</t>
        </is>
      </c>
      <c r="H23" s="9">
        <f>IF(COUNTIFS('BOM by Panel'!$O$3:$O$137,L23,'BOM by Panel'!$H$3:$H$137,"&lt;&gt;")=0,"TBC",SUMIF('BOM by Panel'!$O$3:$O$137,L23,'BOM by Panel'!$H$3:$H$137))</f>
        <v/>
      </c>
      <c r="I23" s="14" t="n"/>
      <c r="J23" s="10">
        <f>IF(OR(I23="",H23="TBC"),"",H23*I23)</f>
        <v/>
      </c>
      <c r="K23" s="9" t="inlineStr">
        <is>
          <t>P2</t>
        </is>
      </c>
      <c r="L23" s="9" t="inlineStr">
        <is>
          <t>RACK</t>
        </is>
      </c>
    </row>
    <row r="24">
      <c r="A24" s="9" t="n">
        <v>22</v>
      </c>
      <c r="B24" s="9" t="inlineStr">
        <is>
          <t>Operator workstation</t>
        </is>
      </c>
      <c r="C24" s="9" t="inlineStr">
        <is>
          <t>Dell</t>
        </is>
      </c>
      <c r="D24" s="9" t="inlineStr">
        <is>
          <t>OptiPlex 7000 series</t>
        </is>
      </c>
      <c r="E24" s="9" t="inlineStr">
        <is>
          <t>Configured to order</t>
        </is>
      </c>
      <c r="F24" s="9" t="inlineStr">
        <is>
          <t>To confirm with supplier</t>
        </is>
      </c>
      <c r="G24" s="9" t="inlineStr">
        <is>
          <t>pc</t>
        </is>
      </c>
      <c r="H24" s="9">
        <f>IF(COUNTIFS('BOM by Panel'!$O$3:$O$137,L24,'BOM by Panel'!$H$3:$H$137,"&lt;&gt;")=0,"TBC",SUMIF('BOM by Panel'!$O$3:$O$137,L24,'BOM by Panel'!$H$3:$H$137))</f>
        <v/>
      </c>
      <c r="I24" s="14" t="n"/>
      <c r="J24" s="10">
        <f>IF(OR(I24="",H24="TBC"),"",H24*I24)</f>
        <v/>
      </c>
      <c r="K24" s="9" t="inlineStr">
        <is>
          <t>P2</t>
        </is>
      </c>
      <c r="L24" s="9" t="inlineStr">
        <is>
          <t>OWS</t>
        </is>
      </c>
    </row>
    <row r="25">
      <c r="A25" s="9" t="n">
        <v>23</v>
      </c>
      <c r="B25" s="9" t="inlineStr">
        <is>
          <t>Monitor 24-inch, full HD</t>
        </is>
      </c>
      <c r="C25" s="9" t="inlineStr">
        <is>
          <t>Dell</t>
        </is>
      </c>
      <c r="D25" s="9" t="inlineStr">
        <is>
          <t>P2425H or equal</t>
        </is>
      </c>
      <c r="E25" s="9" t="inlineStr">
        <is>
          <t>To suit</t>
        </is>
      </c>
      <c r="F25" s="9" t="inlineStr">
        <is>
          <t>To confirm with supplier</t>
        </is>
      </c>
      <c r="G25" s="9" t="inlineStr">
        <is>
          <t>pc</t>
        </is>
      </c>
      <c r="H25" s="9">
        <f>IF(COUNTIFS('BOM by Panel'!$O$3:$O$137,L25,'BOM by Panel'!$H$3:$H$137,"&lt;&gt;")=0,"TBC",SUMIF('BOM by Panel'!$O$3:$O$137,L25,'BOM by Panel'!$H$3:$H$137))</f>
        <v/>
      </c>
      <c r="I25" s="14" t="n"/>
      <c r="J25" s="10">
        <f>IF(OR(I25="",H25="TBC"),"",H25*I25)</f>
        <v/>
      </c>
      <c r="K25" s="9" t="inlineStr">
        <is>
          <t>P2</t>
        </is>
      </c>
      <c r="L25" s="9" t="inlineStr">
        <is>
          <t>MON</t>
        </is>
      </c>
    </row>
    <row r="26">
      <c r="A26" s="9" t="n">
        <v>24</v>
      </c>
      <c r="B26" s="9" t="inlineStr">
        <is>
          <t>Engineering laptop, rugged</t>
        </is>
      </c>
      <c r="C26" s="9" t="inlineStr">
        <is>
          <t>Dell</t>
        </is>
      </c>
      <c r="D26" s="9" t="inlineStr">
        <is>
          <t>Latitude 5430 Rugged</t>
        </is>
      </c>
      <c r="E26" s="9" t="inlineStr">
        <is>
          <t>Configured to order</t>
        </is>
      </c>
      <c r="F26" s="9" t="inlineStr">
        <is>
          <t>To confirm with supplier</t>
        </is>
      </c>
      <c r="G26" s="9" t="inlineStr">
        <is>
          <t>pc</t>
        </is>
      </c>
      <c r="H26" s="9">
        <f>IF(COUNTIFS('BOM by Panel'!$O$3:$O$137,L26,'BOM by Panel'!$H$3:$H$137,"&lt;&gt;")=0,"TBC",SUMIF('BOM by Panel'!$O$3:$O$137,L26,'BOM by Panel'!$H$3:$H$137))</f>
        <v/>
      </c>
      <c r="I26" s="14" t="n"/>
      <c r="J26" s="10">
        <f>IF(OR(I26="",H26="TBC"),"",H26*I26)</f>
        <v/>
      </c>
      <c r="K26" s="9" t="inlineStr">
        <is>
          <t>P2</t>
        </is>
      </c>
      <c r="L26" s="9" t="inlineStr">
        <is>
          <t>LAP</t>
        </is>
      </c>
    </row>
    <row r="27">
      <c r="A27" s="9" t="n">
        <v>25</v>
      </c>
      <c r="B27" s="9" t="inlineStr">
        <is>
          <t>UPS 3000 VA online, rack, network card</t>
        </is>
      </c>
      <c r="C27" s="9" t="inlineStr">
        <is>
          <t>APC</t>
        </is>
      </c>
      <c r="D27" s="9" t="inlineStr">
        <is>
          <t>Smart-UPS SRT 3000</t>
        </is>
      </c>
      <c r="E27" s="9" t="inlineStr">
        <is>
          <t>SRT3000RMXLI</t>
        </is>
      </c>
      <c r="F27" s="9" t="inlineStr">
        <is>
          <t>From memory - confirm</t>
        </is>
      </c>
      <c r="G27" s="9" t="inlineStr">
        <is>
          <t>pc</t>
        </is>
      </c>
      <c r="H27" s="9">
        <f>IF(COUNTIFS('BOM by Panel'!$O$3:$O$137,L27,'BOM by Panel'!$H$3:$H$137,"&lt;&gt;")=0,"TBC",SUMIF('BOM by Panel'!$O$3:$O$137,L27,'BOM by Panel'!$H$3:$H$137))</f>
        <v/>
      </c>
      <c r="I27" s="14" t="n"/>
      <c r="J27" s="10">
        <f>IF(OR(I27="",H27="TBC"),"",H27*I27)</f>
        <v/>
      </c>
      <c r="K27" s="9" t="inlineStr">
        <is>
          <t>P2</t>
        </is>
      </c>
      <c r="L27" s="9" t="inlineStr">
        <is>
          <t>UPS</t>
        </is>
      </c>
    </row>
    <row r="28">
      <c r="A28" s="9" t="n">
        <v>26</v>
      </c>
      <c r="B28" s="9" t="inlineStr">
        <is>
          <t>External battery pack for the UPS (about 2 h runtime, to size)</t>
        </is>
      </c>
      <c r="C28" s="9" t="inlineStr">
        <is>
          <t>APC</t>
        </is>
      </c>
      <c r="D28" s="9" t="inlineStr">
        <is>
          <t>SRT96RMBP</t>
        </is>
      </c>
      <c r="E28" s="9" t="inlineStr">
        <is>
          <t>SRT96RMBP</t>
        </is>
      </c>
      <c r="F28" s="9" t="inlineStr">
        <is>
          <t>From memory - confirm</t>
        </is>
      </c>
      <c r="G28" s="9" t="inlineStr">
        <is>
          <t>pc</t>
        </is>
      </c>
      <c r="H28" s="9">
        <f>IF(COUNTIFS('BOM by Panel'!$O$3:$O$137,L28,'BOM by Panel'!$H$3:$H$137,"&lt;&gt;")=0,"TBC",SUMIF('BOM by Panel'!$O$3:$O$137,L28,'BOM by Panel'!$H$3:$H$137))</f>
        <v/>
      </c>
      <c r="I28" s="14" t="n"/>
      <c r="J28" s="10">
        <f>IF(OR(I28="",H28="TBC"),"",H28*I28)</f>
        <v/>
      </c>
      <c r="K28" s="9" t="inlineStr">
        <is>
          <t>P2</t>
        </is>
      </c>
      <c r="L28" s="9" t="inlineStr">
        <is>
          <t>UPSB</t>
        </is>
      </c>
    </row>
    <row r="29">
      <c r="A29" s="9" t="n">
        <v>27</v>
      </c>
      <c r="B29" s="9" t="inlineStr">
        <is>
          <t>Alarm sounder and beacon</t>
        </is>
      </c>
      <c r="C29" s="9" t="inlineStr">
        <is>
          <t>Pfannenberg</t>
        </is>
      </c>
      <c r="D29" s="9" t="inlineStr">
        <is>
          <t>PATROL</t>
        </is>
      </c>
      <c r="E29" s="9" t="inlineStr">
        <is>
          <t>Model to suit</t>
        </is>
      </c>
      <c r="F29" s="11" t="inlineStr">
        <is>
          <t>TBC</t>
        </is>
      </c>
      <c r="G29" s="9" t="inlineStr">
        <is>
          <t>pc</t>
        </is>
      </c>
      <c r="H29" s="9">
        <f>IF(COUNTIFS('BOM by Panel'!$O$3:$O$137,L29,'BOM by Panel'!$H$3:$H$137,"&lt;&gt;")=0,"TBC",SUMIF('BOM by Panel'!$O$3:$O$137,L29,'BOM by Panel'!$H$3:$H$137))</f>
        <v/>
      </c>
      <c r="I29" s="14" t="n"/>
      <c r="J29" s="10">
        <f>IF(OR(I29="",H29="TBC"),"",H29*I29)</f>
        <v/>
      </c>
      <c r="K29" s="9" t="inlineStr">
        <is>
          <t>P2</t>
        </is>
      </c>
      <c r="L29" s="9" t="inlineStr">
        <is>
          <t>BEACON</t>
        </is>
      </c>
    </row>
    <row r="30">
      <c r="A30" s="9" t="n">
        <v>28</v>
      </c>
      <c r="B30" s="9" t="inlineStr">
        <is>
          <t>I/O remote interface, optical, 110-220 V DC</t>
        </is>
      </c>
      <c r="C30" s="9" t="inlineStr">
        <is>
          <t>Siemens</t>
        </is>
      </c>
      <c r="D30" s="9" t="inlineStr">
        <is>
          <t>CI-8533</t>
        </is>
      </c>
      <c r="E30" s="9" t="inlineStr">
        <is>
          <t>To confirm</t>
        </is>
      </c>
      <c r="F30" s="9" t="inlineStr">
        <is>
          <t>To confirm with supplier</t>
        </is>
      </c>
      <c r="G30" s="9" t="inlineStr">
        <is>
          <t>pc</t>
        </is>
      </c>
      <c r="H30" s="9">
        <f>IF(COUNTIFS('BOM by Panel'!$O$3:$O$137,L30,'BOM by Panel'!$H$3:$H$137,"&lt;&gt;")=0,"TBC",SUMIF('BOM by Panel'!$O$3:$O$137,L30,'BOM by Panel'!$H$3:$H$137))</f>
        <v/>
      </c>
      <c r="I30" s="14" t="n"/>
      <c r="J30" s="10">
        <f>IF(OR(I30="",H30="TBC"),"",H30*I30)</f>
        <v/>
      </c>
      <c r="K30" s="9" t="inlineStr">
        <is>
          <t>P3, P4, P5, P6, SP</t>
        </is>
      </c>
      <c r="L30" s="9" t="inlineStr">
        <is>
          <t>CI8533</t>
        </is>
      </c>
    </row>
    <row r="31">
      <c r="A31" s="9" t="n">
        <v>29</v>
      </c>
      <c r="B31" s="9" t="inlineStr">
        <is>
          <t>Managed field switch, 7 x RJ45 + 3 x gigabit combo/SFP</t>
        </is>
      </c>
      <c r="C31" s="9" t="inlineStr">
        <is>
          <t>Moxa</t>
        </is>
      </c>
      <c r="D31" s="9" t="inlineStr">
        <is>
          <t>EDS-510E</t>
        </is>
      </c>
      <c r="E31" s="9" t="inlineStr">
        <is>
          <t>EDS-510E-3GTXSFP</t>
        </is>
      </c>
      <c r="F31" s="9" t="inlineStr">
        <is>
          <t>From memory - confirm</t>
        </is>
      </c>
      <c r="G31" s="9" t="inlineStr">
        <is>
          <t>pc</t>
        </is>
      </c>
      <c r="H31" s="9">
        <f>IF(COUNTIFS('BOM by Panel'!$O$3:$O$137,L31,'BOM by Panel'!$H$3:$H$137,"&lt;&gt;")=0,"TBC",SUMIF('BOM by Panel'!$O$3:$O$137,L31,'BOM by Panel'!$H$3:$H$137))</f>
        <v/>
      </c>
      <c r="I31" s="14" t="n"/>
      <c r="J31" s="10">
        <f>IF(OR(I31="",H31="TBC"),"",H31*I31)</f>
        <v/>
      </c>
      <c r="K31" s="9" t="inlineStr">
        <is>
          <t>P3, P4, P5, P6, P7, SP</t>
        </is>
      </c>
      <c r="L31" s="9" t="inlineStr">
        <is>
          <t>FSW</t>
        </is>
      </c>
    </row>
    <row r="32">
      <c r="A32" s="9" t="n">
        <v>30</v>
      </c>
      <c r="B32" s="9" t="inlineStr">
        <is>
          <t>Modbus RTU to Modbus TCP gateway, 1 port</t>
        </is>
      </c>
      <c r="C32" s="9" t="inlineStr">
        <is>
          <t>Moxa</t>
        </is>
      </c>
      <c r="D32" s="9" t="inlineStr">
        <is>
          <t>MGate MB3170</t>
        </is>
      </c>
      <c r="E32" s="9" t="inlineStr">
        <is>
          <t>MB3170</t>
        </is>
      </c>
      <c r="F32" s="9" t="inlineStr">
        <is>
          <t>From memory - confirm</t>
        </is>
      </c>
      <c r="G32" s="9" t="inlineStr">
        <is>
          <t>pc</t>
        </is>
      </c>
      <c r="H32" s="9">
        <f>IF(COUNTIFS('BOM by Panel'!$O$3:$O$137,L32,'BOM by Panel'!$H$3:$H$137,"&lt;&gt;")=0,"TBC",SUMIF('BOM by Panel'!$O$3:$O$137,L32,'BOM by Panel'!$H$3:$H$137))</f>
        <v/>
      </c>
      <c r="I32" s="14" t="n"/>
      <c r="J32" s="10">
        <f>IF(OR(I32="",H32="TBC"),"",H32*I32)</f>
        <v/>
      </c>
      <c r="K32" s="9" t="inlineStr">
        <is>
          <t>P3, P4, P6, SP</t>
        </is>
      </c>
      <c r="L32" s="9" t="inlineStr">
        <is>
          <t>MGATE</t>
        </is>
      </c>
    </row>
    <row r="33">
      <c r="A33" s="9" t="n">
        <v>31</v>
      </c>
      <c r="B33" s="9" t="inlineStr">
        <is>
          <t>24 V DC power supply 5 A, input 85-264 V AC / 110-300 V DC</t>
        </is>
      </c>
      <c r="C33" s="9" t="inlineStr">
        <is>
          <t>Siemens</t>
        </is>
      </c>
      <c r="D33" s="9" t="inlineStr">
        <is>
          <t>SITOP PSU8200 24 V/5 A</t>
        </is>
      </c>
      <c r="E33" s="9" t="inlineStr">
        <is>
          <t>6EP1333-3BA10</t>
        </is>
      </c>
      <c r="F33" s="9" t="inlineStr">
        <is>
          <t>From memory - confirm</t>
        </is>
      </c>
      <c r="G33" s="9" t="inlineStr">
        <is>
          <t>pc</t>
        </is>
      </c>
      <c r="H33" s="9">
        <f>IF(COUNTIFS('BOM by Panel'!$O$3:$O$137,L33,'BOM by Panel'!$H$3:$H$137,"&lt;&gt;")=0,"TBC",SUMIF('BOM by Panel'!$O$3:$O$137,L33,'BOM by Panel'!$H$3:$H$137))</f>
        <v/>
      </c>
      <c r="I33" s="14" t="n"/>
      <c r="J33" s="10">
        <f>IF(OR(I33="",H33="TBC"),"",H33*I33)</f>
        <v/>
      </c>
      <c r="K33" s="9" t="inlineStr">
        <is>
          <t>P3, P4, P5, P6, P7, SP</t>
        </is>
      </c>
      <c r="L33" s="9" t="inlineStr">
        <is>
          <t>PSU5</t>
        </is>
      </c>
    </row>
    <row r="34">
      <c r="A34" s="9" t="n">
        <v>32</v>
      </c>
      <c r="B34" s="9" t="inlineStr">
        <is>
          <t>Fibre splice box, DIN rail, 12 x LC</t>
        </is>
      </c>
      <c r="C34" s="9" t="inlineStr">
        <is>
          <t>To suit</t>
        </is>
      </c>
      <c r="D34" s="9" t="inlineStr">
        <is>
          <t>-</t>
        </is>
      </c>
      <c r="E34" s="9" t="inlineStr">
        <is>
          <t>-</t>
        </is>
      </c>
      <c r="F34" s="11" t="inlineStr">
        <is>
          <t>TBC</t>
        </is>
      </c>
      <c r="G34" s="9" t="inlineStr">
        <is>
          <t>pc</t>
        </is>
      </c>
      <c r="H34" s="9">
        <f>IF(COUNTIFS('BOM by Panel'!$O$3:$O$137,L34,'BOM by Panel'!$H$3:$H$137,"&lt;&gt;")=0,"TBC",SUMIF('BOM by Panel'!$O$3:$O$137,L34,'BOM by Panel'!$H$3:$H$137))</f>
        <v/>
      </c>
      <c r="I34" s="14" t="n"/>
      <c r="J34" s="10">
        <f>IF(OR(I34="",H34="TBC"),"",H34*I34)</f>
        <v/>
      </c>
      <c r="K34" s="9" t="inlineStr">
        <is>
          <t>P3, P4, P5, P6, P7</t>
        </is>
      </c>
      <c r="L34" s="9" t="inlineStr">
        <is>
          <t>FSB</t>
        </is>
      </c>
    </row>
    <row r="35">
      <c r="A35" s="9" t="n">
        <v>33</v>
      </c>
      <c r="B35" s="9" t="inlineStr">
        <is>
          <t>Outdoor I/O panel, IP55 minimum, with sun shade</t>
        </is>
      </c>
      <c r="C35" s="9" t="inlineStr">
        <is>
          <t>Rittal</t>
        </is>
      </c>
      <c r="D35" s="9" t="inlineStr">
        <is>
          <t>AX</t>
        </is>
      </c>
      <c r="E35" s="9" t="inlineStr">
        <is>
          <t>Size to suit</t>
        </is>
      </c>
      <c r="F35" s="11" t="inlineStr">
        <is>
          <t>TBC</t>
        </is>
      </c>
      <c r="G35" s="9" t="inlineStr">
        <is>
          <t>pc</t>
        </is>
      </c>
      <c r="H35" s="9">
        <f>IF(COUNTIFS('BOM by Panel'!$O$3:$O$137,L35,'BOM by Panel'!$H$3:$H$137,"&lt;&gt;")=0,"TBC",SUMIF('BOM by Panel'!$O$3:$O$137,L35,'BOM by Panel'!$H$3:$H$137))</f>
        <v/>
      </c>
      <c r="I35" s="14" t="n"/>
      <c r="J35" s="10">
        <f>IF(OR(I35="",H35="TBC"),"",H35*I35)</f>
        <v/>
      </c>
      <c r="K35" s="9" t="inlineStr">
        <is>
          <t>P3, P4, P5, P6</t>
        </is>
      </c>
      <c r="L35" s="9" t="inlineStr">
        <is>
          <t>AX</t>
        </is>
      </c>
    </row>
    <row r="36">
      <c r="A36" s="9" t="n">
        <v>34</v>
      </c>
      <c r="B36" s="9" t="inlineStr">
        <is>
          <t>Panel accessories: MCBs, terminals, surge protection, anti-condensation heater and thermostat, door switch, labels, wiring</t>
        </is>
      </c>
      <c r="C36" s="9" t="inlineStr">
        <is>
          <t>To suit</t>
        </is>
      </c>
      <c r="D36" s="9" t="inlineStr">
        <is>
          <t>-</t>
        </is>
      </c>
      <c r="E36" s="9" t="inlineStr">
        <is>
          <t>-</t>
        </is>
      </c>
      <c r="F36" s="11" t="inlineStr">
        <is>
          <t>TBC</t>
        </is>
      </c>
      <c r="G36" s="9" t="inlineStr">
        <is>
          <t>lot</t>
        </is>
      </c>
      <c r="H36" s="9">
        <f>IF(COUNTIFS('BOM by Panel'!$O$3:$O$137,L36,'BOM by Panel'!$H$3:$H$137,"&lt;&gt;")=0,"TBC",SUMIF('BOM by Panel'!$O$3:$O$137,L36,'BOM by Panel'!$H$3:$H$137))</f>
        <v/>
      </c>
      <c r="I36" s="14" t="n"/>
      <c r="J36" s="10">
        <f>IF(OR(I36="",H36="TBC"),"",H36*I36)</f>
        <v/>
      </c>
      <c r="K36" s="9" t="inlineStr">
        <is>
          <t>P3, P4, P5, P6, P7</t>
        </is>
      </c>
      <c r="L36" s="9" t="inlineStr">
        <is>
          <t>ACC_P</t>
        </is>
      </c>
    </row>
    <row r="37">
      <c r="A37" s="9" t="n">
        <v>35</v>
      </c>
      <c r="B37" s="9" t="inlineStr">
        <is>
          <t>Small wall enclosure for field switch, IP55</t>
        </is>
      </c>
      <c r="C37" s="9" t="inlineStr">
        <is>
          <t>Rittal</t>
        </is>
      </c>
      <c r="D37" s="9" t="inlineStr">
        <is>
          <t>AX</t>
        </is>
      </c>
      <c r="E37" s="9" t="inlineStr">
        <is>
          <t>Size to suit</t>
        </is>
      </c>
      <c r="F37" s="11" t="inlineStr">
        <is>
          <t>TBC</t>
        </is>
      </c>
      <c r="G37" s="9" t="inlineStr">
        <is>
          <t>pc</t>
        </is>
      </c>
      <c r="H37" s="9">
        <f>IF(COUNTIFS('BOM by Panel'!$O$3:$O$137,L37,'BOM by Panel'!$H$3:$H$137,"&lt;&gt;")=0,"TBC",SUMIF('BOM by Panel'!$O$3:$O$137,L37,'BOM by Panel'!$H$3:$H$137))</f>
        <v/>
      </c>
      <c r="I37" s="14" t="n"/>
      <c r="J37" s="10">
        <f>IF(OR(I37="",H37="TBC"),"",H37*I37)</f>
        <v/>
      </c>
      <c r="K37" s="9" t="inlineStr">
        <is>
          <t>P7</t>
        </is>
      </c>
      <c r="L37" s="9" t="inlineStr">
        <is>
          <t>AXS</t>
        </is>
      </c>
    </row>
    <row r="38">
      <c r="A38" s="9" t="n">
        <v>36</v>
      </c>
      <c r="B38" s="9" t="inlineStr">
        <is>
          <t>Single-mode OS2 fibre cable, 12 core, armoured, outdoor</t>
        </is>
      </c>
      <c r="C38" s="9" t="inlineStr">
        <is>
          <t>To suit</t>
        </is>
      </c>
      <c r="D38" s="9" t="inlineStr">
        <is>
          <t>-</t>
        </is>
      </c>
      <c r="E38" s="9" t="inlineStr">
        <is>
          <t>-</t>
        </is>
      </c>
      <c r="F38" s="11" t="inlineStr">
        <is>
          <t>TBC</t>
        </is>
      </c>
      <c r="G38" s="9" t="inlineStr">
        <is>
          <t>m</t>
        </is>
      </c>
      <c r="H38" s="9">
        <f>IF(COUNTIFS('BOM by Panel'!$O$3:$O$137,L38,'BOM by Panel'!$H$3:$H$137,"&lt;&gt;")=0,"TBC",SUMIF('BOM by Panel'!$O$3:$O$137,L38,'BOM by Panel'!$H$3:$H$137))</f>
        <v/>
      </c>
      <c r="I38" s="14" t="n"/>
      <c r="J38" s="10">
        <f>IF(OR(I38="",H38="TBC"),"",H38*I38)</f>
        <v/>
      </c>
      <c r="K38" s="9" t="inlineStr">
        <is>
          <t>C</t>
        </is>
      </c>
      <c r="L38" s="9" t="inlineStr">
        <is>
          <t>FIBRE</t>
        </is>
      </c>
    </row>
    <row r="39">
      <c r="A39" s="9" t="n">
        <v>37</v>
      </c>
      <c r="B39" s="9" t="inlineStr">
        <is>
          <t>Fibre patch cord LC-LC single-mode duplex, 2 m</t>
        </is>
      </c>
      <c r="C39" s="9" t="inlineStr">
        <is>
          <t>To suit</t>
        </is>
      </c>
      <c r="D39" s="9" t="inlineStr">
        <is>
          <t>-</t>
        </is>
      </c>
      <c r="E39" s="9" t="inlineStr">
        <is>
          <t>-</t>
        </is>
      </c>
      <c r="F39" s="11" t="inlineStr">
        <is>
          <t>TBC</t>
        </is>
      </c>
      <c r="G39" s="9" t="inlineStr">
        <is>
          <t>pc</t>
        </is>
      </c>
      <c r="H39" s="9">
        <f>IF(COUNTIFS('BOM by Panel'!$O$3:$O$137,L39,'BOM by Panel'!$H$3:$H$137,"&lt;&gt;")=0,"TBC",SUMIF('BOM by Panel'!$O$3:$O$137,L39,'BOM by Panel'!$H$3:$H$137))</f>
        <v/>
      </c>
      <c r="I39" s="14" t="n"/>
      <c r="J39" s="10">
        <f>IF(OR(I39="",H39="TBC"),"",H39*I39)</f>
        <v/>
      </c>
      <c r="K39" s="9" t="inlineStr">
        <is>
          <t>C</t>
        </is>
      </c>
      <c r="L39" s="9" t="inlineStr">
        <is>
          <t>FCORD</t>
        </is>
      </c>
    </row>
    <row r="40">
      <c r="A40" s="9" t="n">
        <v>38</v>
      </c>
      <c r="B40" s="9" t="inlineStr">
        <is>
          <t>Cat6 S/FTP industrial cable</t>
        </is>
      </c>
      <c r="C40" s="9" t="inlineStr">
        <is>
          <t>To suit</t>
        </is>
      </c>
      <c r="D40" s="9" t="inlineStr">
        <is>
          <t>-</t>
        </is>
      </c>
      <c r="E40" s="9" t="inlineStr">
        <is>
          <t>-</t>
        </is>
      </c>
      <c r="F40" s="11" t="inlineStr">
        <is>
          <t>TBC</t>
        </is>
      </c>
      <c r="G40" s="9" t="inlineStr">
        <is>
          <t>m</t>
        </is>
      </c>
      <c r="H40" s="9">
        <f>IF(COUNTIFS('BOM by Panel'!$O$3:$O$137,L40,'BOM by Panel'!$H$3:$H$137,"&lt;&gt;")=0,"TBC",SUMIF('BOM by Panel'!$O$3:$O$137,L40,'BOM by Panel'!$H$3:$H$137))</f>
        <v/>
      </c>
      <c r="I40" s="14" t="n"/>
      <c r="J40" s="10">
        <f>IF(OR(I40="",H40="TBC"),"",H40*I40)</f>
        <v/>
      </c>
      <c r="K40" s="9" t="inlineStr">
        <is>
          <t>C</t>
        </is>
      </c>
      <c r="L40" s="9" t="inlineStr">
        <is>
          <t>CAT6</t>
        </is>
      </c>
    </row>
    <row r="41">
      <c r="A41" s="9" t="n">
        <v>39</v>
      </c>
      <c r="B41" s="9" t="inlineStr">
        <is>
          <t>Cat6 S/FTP patch cord, 1 to 3 m</t>
        </is>
      </c>
      <c r="C41" s="9" t="inlineStr">
        <is>
          <t>To suit</t>
        </is>
      </c>
      <c r="D41" s="9" t="inlineStr">
        <is>
          <t>-</t>
        </is>
      </c>
      <c r="E41" s="9" t="inlineStr">
        <is>
          <t>-</t>
        </is>
      </c>
      <c r="F41" s="11" t="inlineStr">
        <is>
          <t>TBC</t>
        </is>
      </c>
      <c r="G41" s="9" t="inlineStr">
        <is>
          <t>pc</t>
        </is>
      </c>
      <c r="H41" s="9">
        <f>IF(COUNTIFS('BOM by Panel'!$O$3:$O$137,L41,'BOM by Panel'!$H$3:$H$137,"&lt;&gt;")=0,"TBC",SUMIF('BOM by Panel'!$O$3:$O$137,L41,'BOM by Panel'!$H$3:$H$137))</f>
        <v/>
      </c>
      <c r="I41" s="14" t="n"/>
      <c r="J41" s="10">
        <f>IF(OR(I41="",H41="TBC"),"",H41*I41)</f>
        <v/>
      </c>
      <c r="K41" s="9" t="inlineStr">
        <is>
          <t>C</t>
        </is>
      </c>
      <c r="L41" s="9" t="inlineStr">
        <is>
          <t>PCORD</t>
        </is>
      </c>
    </row>
    <row r="42">
      <c r="A42" s="9" t="n">
        <v>40</v>
      </c>
      <c r="B42" s="9" t="inlineStr">
        <is>
          <t>Shielded field RJ45 connector</t>
        </is>
      </c>
      <c r="C42" s="9" t="inlineStr">
        <is>
          <t>To suit</t>
        </is>
      </c>
      <c r="D42" s="9" t="inlineStr">
        <is>
          <t>-</t>
        </is>
      </c>
      <c r="E42" s="9" t="inlineStr">
        <is>
          <t>-</t>
        </is>
      </c>
      <c r="F42" s="11" t="inlineStr">
        <is>
          <t>TBC</t>
        </is>
      </c>
      <c r="G42" s="9" t="inlineStr">
        <is>
          <t>pc</t>
        </is>
      </c>
      <c r="H42" s="9">
        <f>IF(COUNTIFS('BOM by Panel'!$O$3:$O$137,L42,'BOM by Panel'!$H$3:$H$137,"&lt;&gt;")=0,"TBC",SUMIF('BOM by Panel'!$O$3:$O$137,L42,'BOM by Panel'!$H$3:$H$137))</f>
        <v/>
      </c>
      <c r="I42" s="14" t="n"/>
      <c r="J42" s="10">
        <f>IF(OR(I42="",H42="TBC"),"",H42*I42)</f>
        <v/>
      </c>
      <c r="K42" s="9" t="inlineStr">
        <is>
          <t>C</t>
        </is>
      </c>
      <c r="L42" s="9" t="inlineStr">
        <is>
          <t>RJ45</t>
        </is>
      </c>
    </row>
    <row r="43">
      <c r="A43" s="9" t="n">
        <v>41</v>
      </c>
      <c r="B43" s="9" t="inlineStr">
        <is>
          <t>RS485 cable, 2-pair shielded twisted pair, 120 ohm</t>
        </is>
      </c>
      <c r="C43" s="9" t="inlineStr">
        <is>
          <t>To suit</t>
        </is>
      </c>
      <c r="D43" s="9" t="inlineStr">
        <is>
          <t>-</t>
        </is>
      </c>
      <c r="E43" s="9" t="inlineStr">
        <is>
          <t>-</t>
        </is>
      </c>
      <c r="F43" s="11" t="inlineStr">
        <is>
          <t>TBC</t>
        </is>
      </c>
      <c r="G43" s="9" t="inlineStr">
        <is>
          <t>m</t>
        </is>
      </c>
      <c r="H43" s="9">
        <f>IF(COUNTIFS('BOM by Panel'!$O$3:$O$137,L43,'BOM by Panel'!$H$3:$H$137,"&lt;&gt;")=0,"TBC",SUMIF('BOM by Panel'!$O$3:$O$137,L43,'BOM by Panel'!$H$3:$H$137))</f>
        <v/>
      </c>
      <c r="I43" s="14" t="n"/>
      <c r="J43" s="10">
        <f>IF(OR(I43="",H43="TBC"),"",H43*I43)</f>
        <v/>
      </c>
      <c r="K43" s="9" t="inlineStr">
        <is>
          <t>C</t>
        </is>
      </c>
      <c r="L43" s="9" t="inlineStr">
        <is>
          <t>RS485</t>
        </is>
      </c>
    </row>
    <row r="44">
      <c r="A44" s="9" t="n">
        <v>42</v>
      </c>
      <c r="B44" s="9" t="inlineStr">
        <is>
          <t>Control cable, multicore 1.0 mm2, screened, for hardwired I/O</t>
        </is>
      </c>
      <c r="C44" s="9" t="inlineStr">
        <is>
          <t>To suit</t>
        </is>
      </c>
      <c r="D44" s="9" t="inlineStr">
        <is>
          <t>-</t>
        </is>
      </c>
      <c r="E44" s="9" t="inlineStr">
        <is>
          <t>-</t>
        </is>
      </c>
      <c r="F44" s="11" t="inlineStr">
        <is>
          <t>TBC</t>
        </is>
      </c>
      <c r="G44" s="9" t="inlineStr">
        <is>
          <t>m</t>
        </is>
      </c>
      <c r="H44" s="9">
        <f>IF(COUNTIFS('BOM by Panel'!$O$3:$O$137,L44,'BOM by Panel'!$H$3:$H$137,"&lt;&gt;")=0,"TBC",SUMIF('BOM by Panel'!$O$3:$O$137,L44,'BOM by Panel'!$H$3:$H$137))</f>
        <v/>
      </c>
      <c r="I44" s="14" t="n"/>
      <c r="J44" s="10">
        <f>IF(OR(I44="",H44="TBC"),"",H44*I44)</f>
        <v/>
      </c>
      <c r="K44" s="9" t="inlineStr">
        <is>
          <t>C</t>
        </is>
      </c>
      <c r="L44" s="9" t="inlineStr">
        <is>
          <t>CTRL</t>
        </is>
      </c>
    </row>
    <row r="45">
      <c r="A45" s="9" t="n">
        <v>43</v>
      </c>
      <c r="B45" s="9" t="inlineStr">
        <is>
          <t>Substation SCADA, redundant server pair, about 1,000 data points, IEC 60870-5-104, two user roles</t>
        </is>
      </c>
      <c r="C45" s="9" t="inlineStr">
        <is>
          <t>Siemens</t>
        </is>
      </c>
      <c r="D45" s="9" t="inlineStr">
        <is>
          <t>SICAM SCC</t>
        </is>
      </c>
      <c r="E45" s="9" t="inlineStr">
        <is>
          <t>By quotation</t>
        </is>
      </c>
      <c r="F45" s="9" t="inlineStr">
        <is>
          <t>To confirm with supplier</t>
        </is>
      </c>
      <c r="G45" s="9" t="inlineStr">
        <is>
          <t>lic</t>
        </is>
      </c>
      <c r="H45" s="9">
        <f>IF(COUNTIFS('BOM by Panel'!$O$3:$O$137,L45,'BOM by Panel'!$H$3:$H$137,"&lt;&gt;")=0,"TBC",SUMIF('BOM by Panel'!$O$3:$O$137,L45,'BOM by Panel'!$H$3:$H$137))</f>
        <v/>
      </c>
      <c r="I45" s="14" t="n"/>
      <c r="J45" s="10">
        <f>IF(OR(I45="",H45="TBC"),"",H45*I45)</f>
        <v/>
      </c>
      <c r="K45" s="9" t="inlineStr">
        <is>
          <t>S</t>
        </is>
      </c>
      <c r="L45" s="9" t="inlineStr">
        <is>
          <t>SCC</t>
        </is>
      </c>
    </row>
    <row r="46">
      <c r="A46" s="9" t="n">
        <v>44</v>
      </c>
      <c r="B46" s="9" t="inlineStr">
        <is>
          <t>SICAM SCC client licence for the operator workstation</t>
        </is>
      </c>
      <c r="C46" s="9" t="inlineStr">
        <is>
          <t>Siemens</t>
        </is>
      </c>
      <c r="D46" s="9" t="inlineStr">
        <is>
          <t>SICAM SCC client</t>
        </is>
      </c>
      <c r="E46" s="9" t="inlineStr">
        <is>
          <t>By quotation</t>
        </is>
      </c>
      <c r="F46" s="9" t="inlineStr">
        <is>
          <t>To confirm with supplier</t>
        </is>
      </c>
      <c r="G46" s="9" t="inlineStr">
        <is>
          <t>lic</t>
        </is>
      </c>
      <c r="H46" s="9">
        <f>IF(COUNTIFS('BOM by Panel'!$O$3:$O$137,L46,'BOM by Panel'!$H$3:$H$137,"&lt;&gt;")=0,"TBC",SUMIF('BOM by Panel'!$O$3:$O$137,L46,'BOM by Panel'!$H$3:$H$137))</f>
        <v/>
      </c>
      <c r="I46" s="14" t="n"/>
      <c r="J46" s="10">
        <f>IF(OR(I46="",H46="TBC"),"",H46*I46)</f>
        <v/>
      </c>
      <c r="K46" s="9" t="inlineStr">
        <is>
          <t>S</t>
        </is>
      </c>
      <c r="L46" s="9" t="inlineStr">
        <is>
          <t>SCCC</t>
        </is>
      </c>
    </row>
    <row r="47">
      <c r="A47" s="9" t="n">
        <v>45</v>
      </c>
      <c r="B47" s="9" t="inlineStr">
        <is>
          <t>Controller engineering tool</t>
        </is>
      </c>
      <c r="C47" s="9" t="inlineStr">
        <is>
          <t>Siemens</t>
        </is>
      </c>
      <c r="D47" s="9" t="inlineStr">
        <is>
          <t>SICAM Device Manager</t>
        </is>
      </c>
      <c r="E47" s="9" t="inlineStr">
        <is>
          <t>By quotation</t>
        </is>
      </c>
      <c r="F47" s="9" t="inlineStr">
        <is>
          <t>To confirm with supplier</t>
        </is>
      </c>
      <c r="G47" s="9" t="inlineStr">
        <is>
          <t>lic</t>
        </is>
      </c>
      <c r="H47" s="9">
        <f>IF(COUNTIFS('BOM by Panel'!$O$3:$O$137,L47,'BOM by Panel'!$H$3:$H$137,"&lt;&gt;")=0,"TBC",SUMIF('BOM by Panel'!$O$3:$O$137,L47,'BOM by Panel'!$H$3:$H$137))</f>
        <v/>
      </c>
      <c r="I47" s="14" t="n"/>
      <c r="J47" s="10">
        <f>IF(OR(I47="",H47="TBC"),"",H47*I47)</f>
        <v/>
      </c>
      <c r="K47" s="9" t="inlineStr">
        <is>
          <t>S</t>
        </is>
      </c>
      <c r="L47" s="9" t="inlineStr">
        <is>
          <t>DM</t>
        </is>
      </c>
    </row>
    <row r="48">
      <c r="A48" s="9" t="n">
        <v>46</v>
      </c>
      <c r="B48" s="9" t="inlineStr">
        <is>
          <t>Server operating system</t>
        </is>
      </c>
      <c r="C48" s="9" t="inlineStr">
        <is>
          <t>Microsoft</t>
        </is>
      </c>
      <c r="D48" s="9" t="inlineStr">
        <is>
          <t>Windows Server Standard</t>
        </is>
      </c>
      <c r="E48" s="9" t="inlineStr">
        <is>
          <t>OEM with the IPC</t>
        </is>
      </c>
      <c r="F48" s="9" t="inlineStr">
        <is>
          <t>To confirm with supplier</t>
        </is>
      </c>
      <c r="G48" s="9" t="inlineStr">
        <is>
          <t>lic</t>
        </is>
      </c>
      <c r="H48" s="9">
        <f>IF(COUNTIFS('BOM by Panel'!$O$3:$O$137,L48,'BOM by Panel'!$H$3:$H$137,"&lt;&gt;")=0,"TBC",SUMIF('BOM by Panel'!$O$3:$O$137,L48,'BOM by Panel'!$H$3:$H$137))</f>
        <v/>
      </c>
      <c r="I48" s="14" t="n"/>
      <c r="J48" s="10">
        <f>IF(OR(I48="",H48="TBC"),"",H48*I48)</f>
        <v/>
      </c>
      <c r="K48" s="9" t="inlineStr">
        <is>
          <t>S</t>
        </is>
      </c>
      <c r="L48" s="9" t="inlineStr">
        <is>
          <t>WINS</t>
        </is>
      </c>
    </row>
    <row r="49">
      <c r="A49" s="9" t="n">
        <v>47</v>
      </c>
      <c r="B49" s="9" t="inlineStr">
        <is>
          <t>Network management, at least 16 nodes</t>
        </is>
      </c>
      <c r="C49" s="9" t="inlineStr">
        <is>
          <t>Moxa</t>
        </is>
      </c>
      <c r="D49" s="9" t="inlineStr">
        <is>
          <t>MXview One</t>
        </is>
      </c>
      <c r="E49" s="9" t="inlineStr">
        <is>
          <t>By quotation</t>
        </is>
      </c>
      <c r="F49" s="9" t="inlineStr">
        <is>
          <t>To confirm with supplier</t>
        </is>
      </c>
      <c r="G49" s="9" t="inlineStr">
        <is>
          <t>lic</t>
        </is>
      </c>
      <c r="H49" s="9">
        <f>IF(COUNTIFS('BOM by Panel'!$O$3:$O$137,L49,'BOM by Panel'!$H$3:$H$137,"&lt;&gt;")=0,"TBC",SUMIF('BOM by Panel'!$O$3:$O$137,L49,'BOM by Panel'!$H$3:$H$137))</f>
        <v/>
      </c>
      <c r="I49" s="14" t="n"/>
      <c r="J49" s="10">
        <f>IF(OR(I49="",H49="TBC"),"",H49*I49)</f>
        <v/>
      </c>
      <c r="K49" s="9" t="inlineStr">
        <is>
          <t>S</t>
        </is>
      </c>
      <c r="L49" s="9" t="inlineStr">
        <is>
          <t>NMS</t>
        </is>
      </c>
    </row>
    <row r="50">
      <c r="A50" s="9" t="n">
        <v>48</v>
      </c>
      <c r="B50" s="9" t="inlineStr">
        <is>
          <t>Firewall security services and support, 3 years</t>
        </is>
      </c>
      <c r="C50" s="9" t="inlineStr">
        <is>
          <t>Fortinet</t>
        </is>
      </c>
      <c r="D50" s="9" t="inlineStr">
        <is>
          <t>FortiGate Rugged 60F bundle</t>
        </is>
      </c>
      <c r="E50" s="9" t="inlineStr">
        <is>
          <t>By quotation</t>
        </is>
      </c>
      <c r="F50" s="9" t="inlineStr">
        <is>
          <t>To confirm with supplier</t>
        </is>
      </c>
      <c r="G50" s="9" t="inlineStr">
        <is>
          <t>lic</t>
        </is>
      </c>
      <c r="H50" s="9">
        <f>IF(COUNTIFS('BOM by Panel'!$O$3:$O$137,L50,'BOM by Panel'!$H$3:$H$137,"&lt;&gt;")=0,"TBC",SUMIF('BOM by Panel'!$O$3:$O$137,L50,'BOM by Panel'!$H$3:$H$137))</f>
        <v/>
      </c>
      <c r="I50" s="14" t="n"/>
      <c r="J50" s="10">
        <f>IF(OR(I50="",H50="TBC"),"",H50*I50)</f>
        <v/>
      </c>
      <c r="K50" s="9" t="inlineStr">
        <is>
          <t>S</t>
        </is>
      </c>
      <c r="L50" s="9" t="inlineStr">
        <is>
          <t>FWLIC</t>
        </is>
      </c>
    </row>
    <row r="51">
      <c r="A51" s="12" t="inlineStr"/>
      <c r="B51" s="12" t="inlineStr">
        <is>
          <t>Total materials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3">
        <f>SUM(J3:J50)</f>
        <v/>
      </c>
      <c r="K51" s="12" t="inlineStr"/>
      <c r="L51" s="1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44" customWidth="1" min="4" max="4"/>
    <col width="13" customWidth="1" min="5" max="5"/>
    <col width="10" customWidth="1" min="6" max="6"/>
    <col width="13" customWidth="1" min="7" max="7"/>
    <col width="9" customWidth="1" min="8" max="8"/>
    <col width="9" customWidth="1" min="9" max="9"/>
    <col width="60" customWidth="1" min="10" max="10"/>
  </cols>
  <sheetData>
    <row r="1">
      <c r="A1" s="1" t="inlineStr">
        <is>
          <t>I/O modules against the hardwired signals of the I/O list Rev 1</t>
        </is>
      </c>
    </row>
    <row r="2" ht="30" customHeight="1">
      <c r="A2" s="5" t="inlineStr">
        <is>
          <t>Row</t>
        </is>
      </c>
      <c r="B2" s="5" t="inlineStr">
        <is>
          <t>Location</t>
        </is>
      </c>
      <c r="C2" s="5" t="inlineStr">
        <is>
          <t>Interface</t>
        </is>
      </c>
      <c r="D2" s="5" t="inlineStr">
        <is>
          <t>Modules</t>
        </is>
      </c>
      <c r="E2" s="5" t="inlineStr">
        <is>
          <t>Module count</t>
        </is>
      </c>
      <c r="F2" s="5" t="inlineStr">
        <is>
          <t>Channels</t>
        </is>
      </c>
      <c r="G2" s="5" t="inlineStr">
        <is>
          <t>Signals used</t>
        </is>
      </c>
      <c r="H2" s="5" t="inlineStr">
        <is>
          <t>Spare</t>
        </is>
      </c>
      <c r="I2" s="5" t="inlineStr">
        <is>
          <t>Spare %</t>
        </is>
      </c>
      <c r="J2" s="5" t="inlineStr">
        <is>
          <t>Remark</t>
        </is>
      </c>
    </row>
    <row r="3">
      <c r="A3" s="9" t="n">
        <v>1</v>
      </c>
      <c r="B3" s="9" t="inlineStr">
        <is>
          <t>11 kV switchroom</t>
        </is>
      </c>
      <c r="C3" s="9" t="inlineStr">
        <is>
          <t>CI-8532</t>
        </is>
      </c>
      <c r="D3" s="9" t="inlineStr">
        <is>
          <t>DI-8112 x5, DO-8221 x2, DO-8212 x1</t>
        </is>
      </c>
      <c r="E3" s="9" t="n">
        <v>8</v>
      </c>
      <c r="F3" s="9" t="n">
        <v>112</v>
      </c>
      <c r="G3" s="9" t="n">
        <v>87</v>
      </c>
      <c r="H3" s="9">
        <f>F3-G3</f>
        <v/>
      </c>
      <c r="I3" s="15">
        <f>H3/F3</f>
        <v/>
      </c>
      <c r="J3" s="9" t="inlineStr"/>
    </row>
    <row r="4">
      <c r="A4" s="9" t="n">
        <v>2</v>
      </c>
      <c r="B4" s="9" t="inlineStr">
        <is>
          <t>SCADA cabinet</t>
        </is>
      </c>
      <c r="C4" s="9" t="inlineStr">
        <is>
          <t>CI-8532</t>
        </is>
      </c>
      <c r="D4" s="9" t="inlineStr">
        <is>
          <t>DI-8112 x2, AI-8320 x1</t>
        </is>
      </c>
      <c r="E4" s="9" t="n">
        <v>3</v>
      </c>
      <c r="F4" s="9" t="n">
        <v>36</v>
      </c>
      <c r="G4" s="9" t="n">
        <v>25</v>
      </c>
      <c r="H4" s="9">
        <f>F4-G4</f>
        <v/>
      </c>
      <c r="I4" s="15">
        <f>H4/F4</f>
        <v/>
      </c>
      <c r="J4" s="9" t="inlineStr"/>
    </row>
    <row r="5">
      <c r="A5" s="9" t="n">
        <v>3</v>
      </c>
      <c r="B5" s="9" t="inlineStr">
        <is>
          <t>President station</t>
        </is>
      </c>
      <c r="C5" s="9" t="inlineStr">
        <is>
          <t>CI-8533</t>
        </is>
      </c>
      <c r="D5" s="9" t="inlineStr">
        <is>
          <t>DI-8112 x3, DO-8221 x1</t>
        </is>
      </c>
      <c r="E5" s="9" t="n">
        <v>4</v>
      </c>
      <c r="F5" s="9" t="n">
        <v>60</v>
      </c>
      <c r="G5" s="9" t="n">
        <v>43</v>
      </c>
      <c r="H5" s="9">
        <f>F5-G5</f>
        <v/>
      </c>
      <c r="I5" s="15">
        <f>H5/F5</f>
        <v/>
      </c>
      <c r="J5" s="9" t="inlineStr"/>
    </row>
    <row r="6">
      <c r="A6" s="9" t="n">
        <v>4</v>
      </c>
      <c r="B6" s="9" t="inlineStr">
        <is>
          <t>PM station</t>
        </is>
      </c>
      <c r="C6" s="9" t="inlineStr">
        <is>
          <t>CI-8533</t>
        </is>
      </c>
      <c r="D6" s="9" t="inlineStr">
        <is>
          <t>DI-8112 x3, DO-8221 x1</t>
        </is>
      </c>
      <c r="E6" s="9" t="n">
        <v>4</v>
      </c>
      <c r="F6" s="9" t="n">
        <v>60</v>
      </c>
      <c r="G6" s="9" t="n">
        <v>43</v>
      </c>
      <c r="H6" s="9">
        <f>F6-G6</f>
        <v/>
      </c>
      <c r="I6" s="15">
        <f>H6/F6</f>
        <v/>
      </c>
      <c r="J6" s="9" t="inlineStr"/>
    </row>
    <row r="7">
      <c r="A7" s="9" t="n">
        <v>5</v>
      </c>
      <c r="B7" s="9" t="inlineStr">
        <is>
          <t>BESS / inverter yard</t>
        </is>
      </c>
      <c r="C7" s="9" t="inlineStr">
        <is>
          <t>CI-8533</t>
        </is>
      </c>
      <c r="D7" s="9" t="inlineStr">
        <is>
          <t>DI-8112 x2</t>
        </is>
      </c>
      <c r="E7" s="9" t="n">
        <v>2</v>
      </c>
      <c r="F7" s="9" t="n">
        <v>32</v>
      </c>
      <c r="G7" s="9" t="n">
        <v>26</v>
      </c>
      <c r="H7" s="9">
        <f>F7-G7</f>
        <v/>
      </c>
      <c r="I7" s="15">
        <f>H7/F7</f>
        <v/>
      </c>
      <c r="J7" s="9" t="inlineStr">
        <is>
          <t>Below the 20 % target: add a third DI-8112 if more yard signals appear.</t>
        </is>
      </c>
    </row>
    <row r="8">
      <c r="A8" s="9" t="n">
        <v>6</v>
      </c>
      <c r="B8" s="9" t="inlineStr">
        <is>
          <t>Generator area</t>
        </is>
      </c>
      <c r="C8" s="9" t="inlineStr">
        <is>
          <t>CI-8533</t>
        </is>
      </c>
      <c r="D8" s="9" t="inlineStr">
        <is>
          <t>DI-8112 x2, AI-8320 x1</t>
        </is>
      </c>
      <c r="E8" s="9" t="n">
        <v>3</v>
      </c>
      <c r="F8" s="9" t="n">
        <v>36</v>
      </c>
      <c r="G8" s="9" t="n">
        <v>20</v>
      </c>
      <c r="H8" s="9">
        <f>F8-G8</f>
        <v/>
      </c>
      <c r="I8" s="15">
        <f>H8/F8</f>
        <v/>
      </c>
      <c r="J8" s="9" t="inlineStr"/>
    </row>
    <row r="9">
      <c r="A9" s="12" t="inlineStr"/>
      <c r="B9" s="12" t="inlineStr">
        <is>
          <t>Total</t>
        </is>
      </c>
      <c r="C9" s="12" t="inlineStr"/>
      <c r="D9" s="12" t="inlineStr"/>
      <c r="E9" s="12">
        <f>SUM(E3:E8)</f>
        <v/>
      </c>
      <c r="F9" s="12">
        <f>SUM(F3:F8)</f>
        <v/>
      </c>
      <c r="G9" s="12">
        <f>SUM(G3:G8)</f>
        <v/>
      </c>
      <c r="H9" s="12">
        <f>SUM(H3:H8)</f>
        <v/>
      </c>
      <c r="I9" s="16">
        <f>H9/F9</f>
        <v/>
      </c>
      <c r="J9" s="12" t="inlineStr"/>
    </row>
    <row r="11">
      <c r="A11" s="9" t="inlineStr"/>
      <c r="B11" s="9" t="inlineStr">
        <is>
          <t>Check</t>
        </is>
      </c>
      <c r="C11" s="9" t="inlineStr"/>
      <c r="D11" s="9" t="inlineStr">
        <is>
          <t>I/O modules in the BOM (rows 1 to 6, without spares)</t>
        </is>
      </c>
      <c r="E11" s="9">
        <f>SUMPRODUCT(('BOM by Panel'!$E$3:$E$137={"DI-8112","DO-8221","DO-8212","AI-8320"})*('BOM by Panel'!$N$3:$N$137&lt;&gt;"SP")*('BOM by Panel'!$H$3:$H$137))</f>
        <v/>
      </c>
      <c r="F11" s="9" t="inlineStr"/>
      <c r="G11" s="9" t="inlineStr"/>
      <c r="H11" s="9" t="inlineStr"/>
      <c r="I11" s="9" t="inlineStr"/>
      <c r="J11" s="9">
        <f>IF(E11=E9,"Matches the I/O list","Check the module quantities")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6" customWidth="1" min="3" max="3"/>
    <col width="24" customWidth="1" min="4" max="4"/>
    <col width="90" customWidth="1" min="5" max="5"/>
  </cols>
  <sheetData>
    <row r="1">
      <c r="A1" s="1" t="inlineStr">
        <is>
          <t>Equipment the SCADA connects to but does not supply</t>
        </is>
      </c>
    </row>
    <row r="2" ht="30" customHeight="1">
      <c r="A2" s="5" t="inlineStr">
        <is>
          <t>No.</t>
        </is>
      </c>
      <c r="B2" s="5" t="inlineStr">
        <is>
          <t>Equipment</t>
        </is>
      </c>
      <c r="C2" s="5" t="inlineStr">
        <is>
          <t>Make / model</t>
        </is>
      </c>
      <c r="D2" s="5" t="inlineStr">
        <is>
          <t>Supplied by</t>
        </is>
      </c>
      <c r="E2" s="5" t="inlineStr">
        <is>
          <t>What the SCADA needs from the supplier</t>
        </is>
      </c>
    </row>
    <row r="3">
      <c r="A3" s="9" t="n">
        <v>1</v>
      </c>
      <c r="B3" s="9" t="inlineStr">
        <is>
          <t>PV string inverters NB01 to NB04</t>
        </is>
      </c>
      <c r="C3" s="9" t="inlineStr">
        <is>
          <t>Sungrow SG350HX</t>
        </is>
      </c>
      <c r="D3" s="9" t="inlineStr">
        <is>
          <t>PV supplier</t>
        </is>
      </c>
      <c r="E3" s="9" t="inlineStr">
        <is>
          <t>Power line communication to the PLC box; nothing connects to the SCADA directly.</t>
        </is>
      </c>
    </row>
    <row r="4">
      <c r="A4" s="9" t="n">
        <v>2</v>
      </c>
      <c r="B4" s="9" t="inlineStr">
        <is>
          <t>Power line communication box (PLC box)</t>
        </is>
      </c>
      <c r="C4" s="11" t="inlineStr">
        <is>
          <t>Sungrow, model TBC</t>
        </is>
      </c>
      <c r="D4" s="9" t="inlineStr">
        <is>
          <t>PV supplier</t>
        </is>
      </c>
      <c r="E4" s="9" t="inlineStr">
        <is>
          <t>Ethernet port and Modbus TCP register map; written list of settings the SCADA may write.</t>
        </is>
      </c>
    </row>
    <row r="5">
      <c r="A5" s="9" t="n">
        <v>3</v>
      </c>
      <c r="B5" s="9" t="inlineStr">
        <is>
          <t>Embedded energy management system (EMS)</t>
        </is>
      </c>
      <c r="C5" s="11" t="inlineStr">
        <is>
          <t>TBC</t>
        </is>
      </c>
      <c r="D5" s="9" t="inlineStr">
        <is>
          <t>BESS / EMS supplier</t>
        </is>
      </c>
      <c r="E5" s="9" t="inlineStr">
        <is>
          <t>Ethernet port, Modbus TCP point table, heartbeat, written list of settings the SCADA may write.</t>
        </is>
      </c>
    </row>
    <row r="6">
      <c r="A6" s="9" t="n">
        <v>4</v>
      </c>
      <c r="B6" s="9" t="inlineStr">
        <is>
          <t>Battery system 3,340 kWh</t>
        </is>
      </c>
      <c r="C6" s="9" t="inlineStr">
        <is>
          <t>Sungrow ST3340UX</t>
        </is>
      </c>
      <c r="D6" s="9" t="inlineStr">
        <is>
          <t>BESS supplier</t>
        </is>
      </c>
      <c r="E6" s="9" t="inlineStr">
        <is>
          <t>Read through the EMS. Fire, E-stop and door volt-free contacts at a terminal strip.</t>
        </is>
      </c>
    </row>
    <row r="7">
      <c r="A7" s="9" t="n">
        <v>5</v>
      </c>
      <c r="B7" s="9" t="inlineStr">
        <is>
          <t>Generator controllers DG1, DG2</t>
        </is>
      </c>
      <c r="C7" s="11" t="inlineStr">
        <is>
          <t>TBC</t>
        </is>
      </c>
      <c r="D7" s="9" t="inlineStr">
        <is>
          <t>Generator supplier</t>
        </is>
      </c>
      <c r="E7" s="9" t="inlineStr">
        <is>
          <t>Modbus TCP (or RTU, then add MGate-GEN); volt-free contacts for GCB, running, alarm, E-stop; 4-20 mA fuel level.</t>
        </is>
      </c>
    </row>
    <row r="8">
      <c r="A8" s="9" t="n">
        <v>6</v>
      </c>
      <c r="B8" s="9" t="inlineStr">
        <is>
          <t>11 kV protection relays AH1 to AH7</t>
        </is>
      </c>
      <c r="C8" s="11" t="inlineStr">
        <is>
          <t>TBC</t>
        </is>
      </c>
      <c r="D8" s="9" t="inlineStr">
        <is>
          <t>Switchgear supplier</t>
        </is>
      </c>
      <c r="E8" s="9" t="inlineStr">
        <is>
          <t>Ethernet, two ports preferred; IEC 61850 or Modbus TCP documentation. Motorised breakers and auxiliary contacts.</t>
        </is>
      </c>
    </row>
    <row r="9">
      <c r="A9" s="9" t="n">
        <v>7</v>
      </c>
      <c r="B9" s="9" t="inlineStr">
        <is>
          <t>Neutral earthing resistor panel AH8</t>
        </is>
      </c>
      <c r="C9" s="11" t="inlineStr">
        <is>
          <t>TBC</t>
        </is>
      </c>
      <c r="D9" s="9" t="inlineStr">
        <is>
          <t>Switchgear supplier</t>
        </is>
      </c>
      <c r="E9" s="9" t="inlineStr">
        <is>
          <t>Auxiliary contacts: breaker, earth switch, gas, earth fault.</t>
        </is>
      </c>
    </row>
    <row r="10">
      <c r="A10" s="9" t="n">
        <v>8</v>
      </c>
      <c r="B10" s="9" t="inlineStr">
        <is>
          <t>RMU protection relays</t>
        </is>
      </c>
      <c r="C10" s="9" t="inlineStr">
        <is>
          <t>ST260E</t>
        </is>
      </c>
      <c r="D10" s="9" t="inlineStr">
        <is>
          <t>RMU supplier</t>
        </is>
      </c>
      <c r="E10" s="9" t="inlineStr">
        <is>
          <t>RS485 port and Modbus map; motorised switches.</t>
        </is>
      </c>
    </row>
    <row r="11">
      <c r="A11" s="9" t="n">
        <v>9</v>
      </c>
      <c r="B11" s="9" t="inlineStr">
        <is>
          <t>Transformers (inverter, DG step-up, auxiliary, 2 x 630 kVA)</t>
        </is>
      </c>
      <c r="C11" s="11" t="inlineStr">
        <is>
          <t>TBC</t>
        </is>
      </c>
      <c r="D11" s="9" t="inlineStr">
        <is>
          <t>Transformer supplier</t>
        </is>
      </c>
      <c r="E11" s="9" t="inlineStr">
        <is>
          <t>Alarm and trip contacts wired to a terminal box.</t>
        </is>
      </c>
    </row>
    <row r="12">
      <c r="A12" s="9" t="n">
        <v>10</v>
      </c>
      <c r="B12" s="9" t="inlineStr">
        <is>
          <t>LV distribution boards and main breakers</t>
        </is>
      </c>
      <c r="C12" s="11" t="inlineStr">
        <is>
          <t>TBC</t>
        </is>
      </c>
      <c r="D12" s="9" t="inlineStr">
        <is>
          <t>Switchboard supplier</t>
        </is>
      </c>
      <c r="E12" s="9" t="inlineStr">
        <is>
          <t>Space and CT for the PM5560 meters; breaker auxiliary contacts; motorised LVDB incomers.</t>
        </is>
      </c>
    </row>
    <row r="13">
      <c r="A13" s="9" t="n">
        <v>11</v>
      </c>
      <c r="B13" s="9" t="inlineStr">
        <is>
          <t>Fire detection and suppression panel</t>
        </is>
      </c>
      <c r="C13" s="11" t="inlineStr">
        <is>
          <t>TBC</t>
        </is>
      </c>
      <c r="D13" s="9" t="inlineStr">
        <is>
          <t>Fire system supplier</t>
        </is>
      </c>
      <c r="E13" s="9" t="inlineStr">
        <is>
          <t>Volt-free contacts per the I/O list; direct trip of the battery outside the SCADA.</t>
        </is>
      </c>
    </row>
    <row r="14">
      <c r="A14" s="9" t="n">
        <v>12</v>
      </c>
      <c r="B14" s="9" t="inlineStr">
        <is>
          <t>UPS and 110 V DC station supplies</t>
        </is>
      </c>
      <c r="C14" s="11" t="inlineStr">
        <is>
          <t>TBC</t>
        </is>
      </c>
      <c r="D14" s="9" t="inlineStr">
        <is>
          <t>Electrical contractor</t>
        </is>
      </c>
      <c r="E14" s="9" t="inlineStr">
        <is>
          <t>110 V DC for the controllers and I/O rows; alarm contacts; Modbus TCP or SNMP.</t>
        </is>
      </c>
    </row>
    <row r="15">
      <c r="A15" s="9" t="n">
        <v>13</v>
      </c>
      <c r="B15" s="9" t="inlineStr">
        <is>
          <t>Weather station: blue'Log XM, SMP12-A, WindSonic, temperature sensors</t>
        </is>
      </c>
      <c r="C15" s="9" t="inlineStr">
        <is>
          <t>Meteocontrol and others</t>
        </is>
      </c>
      <c r="D15" s="9" t="inlineStr">
        <is>
          <t>PV supplier</t>
        </is>
      </c>
      <c r="E15" s="9" t="inlineStr">
        <is>
          <t>Ethernet port and Modbus TCP documentation.</t>
        </is>
      </c>
    </row>
    <row r="16">
      <c r="A16" s="9" t="n">
        <v>14</v>
      </c>
      <c r="B16" s="9" t="inlineStr">
        <is>
          <t>RMU UPS 2 kVA</t>
        </is>
      </c>
      <c r="C16" s="11" t="inlineStr">
        <is>
          <t>TBC</t>
        </is>
      </c>
      <c r="D16" s="9" t="inlineStr">
        <is>
          <t>RMU supplier</t>
        </is>
      </c>
      <c r="E16" s="9" t="inlineStr">
        <is>
          <t>On battery and fault contacts.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8" customWidth="1" min="3" max="3"/>
    <col width="8" customWidth="1" min="4" max="4"/>
    <col width="14" customWidth="1" min="5" max="5"/>
  </cols>
  <sheetData>
    <row r="1">
      <c r="A1" s="1" t="inlineStr">
        <is>
          <t>Engineering and services (for the offer; not materials)</t>
        </is>
      </c>
    </row>
    <row r="2" ht="30" customHeight="1">
      <c r="A2" s="5" t="inlineStr">
        <is>
          <t>No.</t>
        </is>
      </c>
      <c r="B2" s="5" t="inlineStr">
        <is>
          <t>Service</t>
        </is>
      </c>
      <c r="C2" s="5" t="inlineStr">
        <is>
          <t>Unit</t>
        </is>
      </c>
      <c r="D2" s="5" t="inlineStr">
        <is>
          <t>Qty</t>
        </is>
      </c>
      <c r="E2" s="5" t="inlineStr">
        <is>
          <t>Price</t>
        </is>
      </c>
    </row>
    <row r="3">
      <c r="A3" s="9" t="n">
        <v>1</v>
      </c>
      <c r="B3" s="9" t="inlineStr">
        <is>
          <t>Engineering: controller configuration, interlocks, IP plan, SCADA database and screens</t>
        </is>
      </c>
      <c r="C3" s="9" t="inlineStr">
        <is>
          <t>lot</t>
        </is>
      </c>
      <c r="D3" s="9" t="n">
        <v>1</v>
      </c>
      <c r="E3" s="14" t="n"/>
    </row>
    <row r="4">
      <c r="A4" s="9" t="n">
        <v>2</v>
      </c>
      <c r="B4" s="9" t="inlineStr">
        <is>
          <t>Panel build: SCADA cabinet and six field panels, with wiring and internal tests</t>
        </is>
      </c>
      <c r="C4" s="9" t="inlineStr">
        <is>
          <t>lot</t>
        </is>
      </c>
      <c r="D4" s="9" t="n">
        <v>1</v>
      </c>
      <c r="E4" s="14" t="n"/>
    </row>
    <row r="5">
      <c r="A5" s="9" t="n">
        <v>3</v>
      </c>
      <c r="B5" s="9" t="inlineStr">
        <is>
          <t>Factory acceptance test with the client</t>
        </is>
      </c>
      <c r="C5" s="9" t="inlineStr">
        <is>
          <t>lot</t>
        </is>
      </c>
      <c r="D5" s="9" t="n">
        <v>1</v>
      </c>
      <c r="E5" s="14" t="n"/>
    </row>
    <row r="6">
      <c r="A6" s="9" t="n">
        <v>4</v>
      </c>
      <c r="B6" s="9" t="inlineStr">
        <is>
          <t>Site installation supervision, termination and fibre splicing</t>
        </is>
      </c>
      <c r="C6" s="9" t="inlineStr">
        <is>
          <t>lot</t>
        </is>
      </c>
      <c r="D6" s="9" t="n">
        <v>1</v>
      </c>
      <c r="E6" s="14" t="n"/>
    </row>
    <row r="7">
      <c r="A7" s="9" t="n">
        <v>5</v>
      </c>
      <c r="B7" s="9" t="inlineStr">
        <is>
          <t>Site acceptance and interface tests with the PV, BESS, generator and switchgear suppliers</t>
        </is>
      </c>
      <c r="C7" s="9" t="inlineStr">
        <is>
          <t>lot</t>
        </is>
      </c>
      <c r="D7" s="9" t="n">
        <v>1</v>
      </c>
      <c r="E7" s="14" t="n"/>
    </row>
    <row r="8">
      <c r="A8" s="9" t="n">
        <v>6</v>
      </c>
      <c r="B8" s="9" t="inlineStr">
        <is>
          <t>Training: operators and administrators</t>
        </is>
      </c>
      <c r="C8" s="9" t="inlineStr">
        <is>
          <t>lot</t>
        </is>
      </c>
      <c r="D8" s="9" t="n">
        <v>1</v>
      </c>
      <c r="E8" s="14" t="n"/>
    </row>
    <row r="9">
      <c r="A9" s="9" t="n">
        <v>7</v>
      </c>
      <c r="B9" s="9" t="inlineStr">
        <is>
          <t>Documentation: as-built drawings, manuals, configuration backups</t>
        </is>
      </c>
      <c r="C9" s="9" t="inlineStr">
        <is>
          <t>lot</t>
        </is>
      </c>
      <c r="D9" s="9" t="n">
        <v>1</v>
      </c>
      <c r="E9" s="14" t="n"/>
    </row>
    <row r="10">
      <c r="A10" s="9" t="n">
        <v>8</v>
      </c>
      <c r="B10" s="9" t="inlineStr">
        <is>
          <t>Warranty and remote support, 2 years</t>
        </is>
      </c>
      <c r="C10" s="9" t="inlineStr">
        <is>
          <t>lot</t>
        </is>
      </c>
      <c r="D10" s="9" t="n">
        <v>1</v>
      </c>
      <c r="E10" s="14" t="n"/>
    </row>
    <row r="11">
      <c r="A11" s="12" t="inlineStr"/>
      <c r="B11" s="12" t="inlineStr">
        <is>
          <t>Total services</t>
        </is>
      </c>
      <c r="C11" s="12" t="inlineStr"/>
      <c r="D11" s="12" t="inlineStr"/>
      <c r="E11" s="13">
        <f>SUM(E3:E10)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2026-10-22T19:40:18Z</dcterms:created>
  <dcterms:modified xmlns:dcterms="http://purl.org/dc/terms/" xmlns:xsi="http://www.w3.org/2001/XMLSchema-instance" xsi:type="dcterms:W3CDTF">2026-10-22T19:40:18Z</dcterms:modified>
</cp:coreProperties>
</file>