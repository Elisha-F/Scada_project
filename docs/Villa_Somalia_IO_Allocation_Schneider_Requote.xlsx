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Hardware by Location" sheetId="2" state="visible" r:id="rId2"/>
    <sheet xmlns:r="http://schemas.openxmlformats.org/officeDocument/2006/relationships" name="IO Allocation" sheetId="3" state="visible" r:id="rId3"/>
    <sheet xmlns:r="http://schemas.openxmlformats.org/officeDocument/2006/relationships" name="Changes to Offer" sheetId="4" state="visible" r:id="rId4"/>
    <sheet xmlns:r="http://schemas.openxmlformats.org/officeDocument/2006/relationships" name="Other Items" sheetId="5" state="visible" r:id="rId5"/>
  </sheets>
  <definedNames>
    <definedName name="_xlnm._FilterDatabase" localSheetId="2" hidden="1">'IO Allocation'!$A$1:$P$245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4"/>
    </font>
    <font>
      <b val="1"/>
      <color rgb="00FFFFFF"/>
    </font>
    <font>
      <i val="1"/>
      <color rgb="005B5B57"/>
    </font>
    <font>
      <b val="1"/>
      <color rgb="001F3A5F"/>
    </font>
    <font>
      <b val="1"/>
    </font>
  </fonts>
  <fills count="4">
    <fill>
      <patternFill/>
    </fill>
    <fill>
      <patternFill patternType="gray125"/>
    </fill>
    <fill>
      <patternFill patternType="solid">
        <fgColor rgb="001F3A5F"/>
      </patternFill>
    </fill>
    <fill>
      <patternFill patternType="solid">
        <fgColor rgb="00FFF4C2"/>
      </patternFill>
    </fill>
  </fills>
  <borders count="2">
    <border>
      <left/>
      <right/>
      <top/>
      <bottom/>
      <diagonal/>
    </border>
    <border>
      <left style="thin">
        <color rgb="00BFC8D2"/>
      </left>
      <right style="thin">
        <color rgb="00BFC8D2"/>
      </right>
      <top style="thin">
        <color rgb="00BFC8D2"/>
      </top>
      <bottom style="thin">
        <color rgb="00BFC8D2"/>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0" borderId="0" pivotButton="0" quotePrefix="0" xfId="0"/>
    <xf numFmtId="0" fontId="2" fillId="2" borderId="1" applyAlignment="1" pivotButton="0" quotePrefix="0" xfId="0">
      <alignment wrapText="1"/>
    </xf>
    <xf numFmtId="9" fontId="0" fillId="0" borderId="1" applyAlignment="1" pivotButton="0" quotePrefix="0" xfId="0">
      <alignment vertical="top" wrapText="1"/>
    </xf>
    <xf numFmtId="0" fontId="4" fillId="0" borderId="0" pivotButton="0" quotePrefix="0" xfId="0"/>
    <xf numFmtId="0" fontId="2" fillId="2" borderId="1" pivotButton="0" quotePrefix="0" xfId="0"/>
    <xf numFmtId="0" fontId="0" fillId="0" borderId="1" pivotButton="0" quotePrefix="0" xfId="0"/>
    <xf numFmtId="9" fontId="0" fillId="0" borderId="1" pivotButton="0" quotePrefix="0" xfId="0"/>
    <xf numFmtId="0" fontId="5" fillId="0" borderId="1" pivotButton="0" quotePrefix="0" xfId="0"/>
    <xf numFmtId="9" fontId="5" fillId="0" borderId="1" pivotButton="0" quotePrefix="0" xfId="0"/>
    <xf numFmtId="0" fontId="0" fillId="0" borderId="0" applyAlignment="1" pivotButton="0" quotePrefix="0" xfId="0">
      <alignment vertical="top" wrapText="1"/>
    </xf>
    <xf numFmtId="0" fontId="0" fillId="0" borderId="1" applyAlignment="1" pivotButton="0" quotePrefix="0" xfId="0">
      <alignment vertical="top"/>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120" customWidth="1" min="2" max="2"/>
  </cols>
  <sheetData>
    <row r="1">
      <c r="A1" s="1" t="inlineStr">
        <is>
          <t>Villa Somalia SCADA: corrected I/O allocation for the Schneider Electric requote</t>
        </is>
      </c>
    </row>
    <row r="4">
      <c r="A4" s="2" t="inlineStr">
        <is>
          <t>Item</t>
        </is>
      </c>
      <c r="B4" s="2" t="inlineStr">
        <is>
          <t>Description</t>
        </is>
      </c>
    </row>
    <row r="5" ht="48" customHeight="1">
      <c r="A5" s="3" t="inlineStr">
        <is>
          <t>Purpose</t>
        </is>
      </c>
      <c r="B5" s="3" t="inlineStr">
        <is>
          <t>Basis for Schneider Electric to requote the PLC and remote I/O. Allocates each hardwired signal of the Device and I/O List Rev 1 to a Schneider module and channel at the location where it is wired, and states the changes against the offer.</t>
        </is>
      </c>
    </row>
    <row r="6" ht="48" customHeight="1">
      <c r="A6" s="3" t="inlineStr">
        <is>
          <t>Offer reviewed</t>
        </is>
      </c>
      <c r="B6" s="3" t="inlineStr">
        <is>
          <t>Offer Proposal Villa Somalia, version 1, 16 Oct 2026 (Schneider Electric), and its Bill of Material workbook.</t>
        </is>
      </c>
    </row>
    <row r="7" ht="48" customHeight="1">
      <c r="A7" s="3" t="inlineStr">
        <is>
          <t>Signal basis</t>
        </is>
      </c>
      <c r="B7" s="3" t="inlineStr">
        <is>
          <t>Villa_Somalia_SCADA_Device_and_IO_List_Rev1.xlsx, sheet IO List: 244 hardwired signals (208 DI, 32 DO, 4 AI). The 463 communication points (sheet Comms Point List) are read over the network and need no I/O channels.</t>
        </is>
      </c>
    </row>
    <row r="8" ht="48" customHeight="1">
      <c r="A8" s="3" t="inlineStr">
        <is>
          <t>Why the offer does not fit</t>
        </is>
      </c>
      <c r="B8" s="3" t="inlineStr">
        <is>
          <t>The offer has enough channels in total (416 DI, 192 DO) but they are in the wrong places: four PV inverter islands where the yard needs 26 inputs, no I/O in the generator area, no analogue inputs, both office islands labelled PM office, six times the outputs required, and no interposing relays for the breaker commands.</t>
        </is>
      </c>
    </row>
    <row r="9" ht="48" customHeight="1">
      <c r="A9" s="3" t="inlineStr">
        <is>
          <t>Locations</t>
        </is>
      </c>
      <c r="B9" s="3" t="inlineStr">
        <is>
          <t>Switchroom (I/O rows 1 and 2 of the design), President station (row 3), Prime Minister station (row 4), BESS and inverter yard (row 5), generator area (row 6).</t>
        </is>
      </c>
    </row>
    <row r="10" ht="48" customHeight="1">
      <c r="A10" s="3" t="inlineStr">
        <is>
          <t>Switchroom I/O</t>
        </is>
      </c>
      <c r="B10" s="3" t="inlineStr">
        <is>
          <t>All switchroom I/O sits in the Ethernet remote drop, none in the CPU rack, so the CPU rack can become a hot standby pair without rewiring (sheet Other Items, item 1).</t>
        </is>
      </c>
    </row>
    <row r="11" ht="48" customHeight="1">
      <c r="A11" s="3" t="inlineStr">
        <is>
          <t>Spare capacity</t>
        </is>
      </c>
      <c r="B11" s="3" t="inlineStr">
        <is>
          <t>About 20 % or more spare digital inputs per location, as in the design: 27 % in the switchroom and office stations, 44 % in the generator area, 19 % in the BESS yard (add a third input module there if more yard signals appear). Outputs and analogue inputs are single modules with 50 % spare.</t>
        </is>
      </c>
    </row>
    <row r="12" ht="48" customHeight="1">
      <c r="A12" s="3" t="inlineStr">
        <is>
          <t>Inputs</t>
        </is>
      </c>
      <c r="B12" s="3" t="inlineStr">
        <is>
          <t>Switchgear, RMU, transformer and package contacts are assumed dry contacts, wetted at 24 V DC from a field supply in each panel. Contacts that carry 110 V DC need an interposing relay; confirm with the terminal schedules.</t>
        </is>
      </c>
    </row>
    <row r="13" ht="48" customHeight="1">
      <c r="A13" s="3" t="inlineStr">
        <is>
          <t>Outputs</t>
        </is>
      </c>
      <c r="B13" s="3" t="inlineStr">
        <is>
          <t>Breaker and switch commands drive interposing relays (32 in total: 30 commands, beacon and watchdog). The relay contact switches the 110 V DC control circuit; the 24 V DC transistor outputs never switch a coil directly.</t>
        </is>
      </c>
    </row>
    <row r="14" ht="48" customHeight="1">
      <c r="A14" s="3" t="inlineStr">
        <is>
          <t>Sheets</t>
        </is>
      </c>
      <c r="B14" s="3" t="inlineStr">
        <is>
          <t>Hardware by Location: modules per location with used and spare channels, calculated. IO Allocation: every signal with its Schneider module and channel. Changes to Offer: line-by-line quantities. Other Items: what else must be quoted or clarified.</t>
        </is>
      </c>
    </row>
    <row r="15" ht="48" customHeight="1">
      <c r="A15" s="3" t="inlineStr">
        <is>
          <t>Status</t>
        </is>
      </c>
      <c r="B15" s="3" t="inlineStr">
        <is>
          <t>Rev 0, 16 Oct 2026, for Schneider Electric to requote. Module and channel numbers are proposals; Schneider may re-number within a location if the totals and spare stay the same.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4"/>
  <sheetViews>
    <sheetView workbookViewId="0">
      <pane ySplit="4" topLeftCell="A5" activePane="bottomLeft" state="frozen"/>
      <selection pane="bottomLeft" activeCell="A1" sqref="A1"/>
    </sheetView>
  </sheetViews>
  <sheetFormatPr baseColWidth="8" defaultRowHeight="15"/>
  <cols>
    <col width="44" customWidth="1" min="1" max="1"/>
    <col width="9" customWidth="1" min="2" max="2"/>
    <col width="11" customWidth="1" min="3" max="3"/>
    <col width="16" customWidth="1" min="4" max="4"/>
    <col width="44" customWidth="1" min="5" max="5"/>
    <col width="9" customWidth="1" min="6" max="6"/>
    <col width="8" customWidth="1" min="7" max="7"/>
    <col width="8" customWidth="1" min="8" max="8"/>
    <col width="8" customWidth="1" min="9" max="9"/>
  </cols>
  <sheetData>
    <row r="1">
      <c r="A1" s="1" t="inlineStr">
        <is>
          <t>I/O hardware by location</t>
        </is>
      </c>
    </row>
    <row r="2">
      <c r="A2" s="4" t="inlineStr">
        <is>
          <t>Used channels are counted from sheet IO Allocation.</t>
        </is>
      </c>
    </row>
    <row r="4">
      <c r="A4" s="5" t="inlineStr">
        <is>
          <t>Location</t>
        </is>
      </c>
      <c r="B4" s="5" t="inlineStr">
        <is>
          <t>Design rows</t>
        </is>
      </c>
      <c r="C4" s="5" t="inlineStr">
        <is>
          <t>Module</t>
        </is>
      </c>
      <c r="D4" s="5" t="inlineStr">
        <is>
          <t>Module reference</t>
        </is>
      </c>
      <c r="E4" s="5" t="inlineStr">
        <is>
          <t>Description</t>
        </is>
      </c>
      <c r="F4" s="5" t="inlineStr">
        <is>
          <t>Channels</t>
        </is>
      </c>
      <c r="G4" s="5" t="inlineStr">
        <is>
          <t>Used</t>
        </is>
      </c>
      <c r="H4" s="5" t="inlineStr">
        <is>
          <t>Spare</t>
        </is>
      </c>
      <c r="I4" s="5" t="inlineStr">
        <is>
          <t>Spare %</t>
        </is>
      </c>
    </row>
    <row r="5">
      <c r="A5" s="3" t="inlineStr">
        <is>
          <t>11 kV switchroom, M580 Ethernet remote drop (BMECRA31210 on BMEXBP1200)</t>
        </is>
      </c>
      <c r="B5" s="3" t="inlineStr">
        <is>
          <t>1, 2</t>
        </is>
      </c>
      <c r="C5" s="3" t="inlineStr">
        <is>
          <t>SWR-DI1</t>
        </is>
      </c>
      <c r="D5" s="3" t="inlineStr">
        <is>
          <t>BMXDDI3202K</t>
        </is>
      </c>
      <c r="E5" s="3" t="inlineStr">
        <is>
          <t>X80 digital input, 32 channels, 24 V DC</t>
        </is>
      </c>
      <c r="F5" s="3" t="n">
        <v>32</v>
      </c>
      <c r="G5" s="3">
        <f>COUNTIF('IO Allocation'!$L$2:$L$245,C5)</f>
        <v/>
      </c>
      <c r="H5" s="3">
        <f>F5-G5</f>
        <v/>
      </c>
      <c r="I5" s="6">
        <f>IF(F5=0,0,H5/F5)</f>
        <v/>
      </c>
    </row>
    <row r="6">
      <c r="A6" s="3" t="inlineStr">
        <is>
          <t>11 kV switchroom, M580 Ethernet remote drop (BMECRA31210 on BMEXBP1200)</t>
        </is>
      </c>
      <c r="B6" s="3" t="inlineStr">
        <is>
          <t>1, 2</t>
        </is>
      </c>
      <c r="C6" s="3" t="inlineStr">
        <is>
          <t>SWR-DI2</t>
        </is>
      </c>
      <c r="D6" s="3" t="inlineStr">
        <is>
          <t>BMXDDI3202K</t>
        </is>
      </c>
      <c r="E6" s="3" t="inlineStr">
        <is>
          <t>X80 digital input, 32 channels, 24 V DC</t>
        </is>
      </c>
      <c r="F6" s="3" t="n">
        <v>32</v>
      </c>
      <c r="G6" s="3">
        <f>COUNTIF('IO Allocation'!$L$2:$L$245,C6)</f>
        <v/>
      </c>
      <c r="H6" s="3">
        <f>F6-G6</f>
        <v/>
      </c>
      <c r="I6" s="6">
        <f>IF(F6=0,0,H6/F6)</f>
        <v/>
      </c>
    </row>
    <row r="7">
      <c r="A7" s="3" t="inlineStr">
        <is>
          <t>11 kV switchroom, M580 Ethernet remote drop (BMECRA31210 on BMEXBP1200)</t>
        </is>
      </c>
      <c r="B7" s="3" t="inlineStr">
        <is>
          <t>1, 2</t>
        </is>
      </c>
      <c r="C7" s="3" t="inlineStr">
        <is>
          <t>SWR-DI3</t>
        </is>
      </c>
      <c r="D7" s="3" t="inlineStr">
        <is>
          <t>BMXDDI3202K</t>
        </is>
      </c>
      <c r="E7" s="3" t="inlineStr">
        <is>
          <t>X80 digital input, 32 channels, 24 V DC</t>
        </is>
      </c>
      <c r="F7" s="3" t="n">
        <v>32</v>
      </c>
      <c r="G7" s="3">
        <f>COUNTIF('IO Allocation'!$L$2:$L$245,C7)</f>
        <v/>
      </c>
      <c r="H7" s="3">
        <f>F7-G7</f>
        <v/>
      </c>
      <c r="I7" s="6">
        <f>IF(F7=0,0,H7/F7)</f>
        <v/>
      </c>
    </row>
    <row r="8">
      <c r="A8" s="3" t="inlineStr">
        <is>
          <t>11 kV switchroom, M580 Ethernet remote drop (BMECRA31210 on BMEXBP1200)</t>
        </is>
      </c>
      <c r="B8" s="3" t="inlineStr">
        <is>
          <t>1, 2</t>
        </is>
      </c>
      <c r="C8" s="3" t="inlineStr">
        <is>
          <t>SWR-DI4</t>
        </is>
      </c>
      <c r="D8" s="3" t="inlineStr">
        <is>
          <t>BMXDDI3202K</t>
        </is>
      </c>
      <c r="E8" s="3" t="inlineStr">
        <is>
          <t>X80 digital input, 32 channels, 24 V DC</t>
        </is>
      </c>
      <c r="F8" s="3" t="n">
        <v>32</v>
      </c>
      <c r="G8" s="3">
        <f>COUNTIF('IO Allocation'!$L$2:$L$245,C8)</f>
        <v/>
      </c>
      <c r="H8" s="3">
        <f>F8-G8</f>
        <v/>
      </c>
      <c r="I8" s="6">
        <f>IF(F8=0,0,H8/F8)</f>
        <v/>
      </c>
    </row>
    <row r="9">
      <c r="A9" s="3" t="inlineStr">
        <is>
          <t>11 kV switchroom, M580 Ethernet remote drop (BMECRA31210 on BMEXBP1200)</t>
        </is>
      </c>
      <c r="B9" s="3" t="inlineStr">
        <is>
          <t>1, 2</t>
        </is>
      </c>
      <c r="C9" s="3" t="inlineStr">
        <is>
          <t>SWR-DO1</t>
        </is>
      </c>
      <c r="D9" s="3" t="inlineStr">
        <is>
          <t>BMXDDO3202K</t>
        </is>
      </c>
      <c r="E9" s="3" t="inlineStr">
        <is>
          <t>X80 digital output, 32 channels, 24 V DC</t>
        </is>
      </c>
      <c r="F9" s="3" t="n">
        <v>32</v>
      </c>
      <c r="G9" s="3">
        <f>COUNTIF('IO Allocation'!$L$2:$L$245,C9)</f>
        <v/>
      </c>
      <c r="H9" s="3">
        <f>F9-G9</f>
        <v/>
      </c>
      <c r="I9" s="6">
        <f>IF(F9=0,0,H9/F9)</f>
        <v/>
      </c>
    </row>
    <row r="10">
      <c r="A10" s="3" t="inlineStr">
        <is>
          <t>11 kV switchroom, M580 Ethernet remote drop (BMECRA31210 on BMEXBP1200)</t>
        </is>
      </c>
      <c r="B10" s="3" t="inlineStr">
        <is>
          <t>1, 2</t>
        </is>
      </c>
      <c r="C10" s="3" t="inlineStr">
        <is>
          <t>SWR-AI1</t>
        </is>
      </c>
      <c r="D10" s="3" t="inlineStr">
        <is>
          <t>BMXAMI0410</t>
        </is>
      </c>
      <c r="E10" s="3" t="inlineStr">
        <is>
          <t>X80 analogue input, 4 isolated channels</t>
        </is>
      </c>
      <c r="F10" s="3" t="n">
        <v>4</v>
      </c>
      <c r="G10" s="3">
        <f>COUNTIF('IO Allocation'!$L$2:$L$245,C10)</f>
        <v/>
      </c>
      <c r="H10" s="3">
        <f>F10-G10</f>
        <v/>
      </c>
      <c r="I10" s="6">
        <f>IF(F10=0,0,H10/F10)</f>
        <v/>
      </c>
    </row>
    <row r="11">
      <c r="A11" s="3" t="inlineStr">
        <is>
          <t>President office station, Edge I/O island</t>
        </is>
      </c>
      <c r="B11" s="3" t="inlineStr">
        <is>
          <t>3</t>
        </is>
      </c>
      <c r="C11" s="3" t="inlineStr">
        <is>
          <t>PRS-DI1</t>
        </is>
      </c>
      <c r="D11" s="3" t="inlineStr">
        <is>
          <t>NTSDDI1602XK</t>
        </is>
      </c>
      <c r="E11" s="3" t="inlineStr">
        <is>
          <t>Edge I/O NTS digital input, 16 channels, 24 V DC</t>
        </is>
      </c>
      <c r="F11" s="3" t="n">
        <v>16</v>
      </c>
      <c r="G11" s="3">
        <f>COUNTIF('IO Allocation'!$L$2:$L$245,C11)</f>
        <v/>
      </c>
      <c r="H11" s="3">
        <f>F11-G11</f>
        <v/>
      </c>
      <c r="I11" s="6">
        <f>IF(F11=0,0,H11/F11)</f>
        <v/>
      </c>
    </row>
    <row r="12">
      <c r="A12" s="3" t="inlineStr">
        <is>
          <t>President office station, Edge I/O island</t>
        </is>
      </c>
      <c r="B12" s="3" t="inlineStr">
        <is>
          <t>3</t>
        </is>
      </c>
      <c r="C12" s="3" t="inlineStr">
        <is>
          <t>PRS-DI2</t>
        </is>
      </c>
      <c r="D12" s="3" t="inlineStr">
        <is>
          <t>NTSDDI1602XK</t>
        </is>
      </c>
      <c r="E12" s="3" t="inlineStr">
        <is>
          <t>Edge I/O NTS digital input, 16 channels, 24 V DC</t>
        </is>
      </c>
      <c r="F12" s="3" t="n">
        <v>16</v>
      </c>
      <c r="G12" s="3">
        <f>COUNTIF('IO Allocation'!$L$2:$L$245,C12)</f>
        <v/>
      </c>
      <c r="H12" s="3">
        <f>F12-G12</f>
        <v/>
      </c>
      <c r="I12" s="6">
        <f>IF(F12=0,0,H12/F12)</f>
        <v/>
      </c>
    </row>
    <row r="13">
      <c r="A13" s="3" t="inlineStr">
        <is>
          <t>President office station, Edge I/O island</t>
        </is>
      </c>
      <c r="B13" s="3" t="inlineStr">
        <is>
          <t>3</t>
        </is>
      </c>
      <c r="C13" s="3" t="inlineStr">
        <is>
          <t>PRS-DI3</t>
        </is>
      </c>
      <c r="D13" s="3" t="inlineStr">
        <is>
          <t>NTSDDI1602XK</t>
        </is>
      </c>
      <c r="E13" s="3" t="inlineStr">
        <is>
          <t>Edge I/O NTS digital input, 16 channels, 24 V DC</t>
        </is>
      </c>
      <c r="F13" s="3" t="n">
        <v>16</v>
      </c>
      <c r="G13" s="3">
        <f>COUNTIF('IO Allocation'!$L$2:$L$245,C13)</f>
        <v/>
      </c>
      <c r="H13" s="3">
        <f>F13-G13</f>
        <v/>
      </c>
      <c r="I13" s="6">
        <f>IF(F13=0,0,H13/F13)</f>
        <v/>
      </c>
    </row>
    <row r="14">
      <c r="A14" s="3" t="inlineStr">
        <is>
          <t>President office station, Edge I/O island</t>
        </is>
      </c>
      <c r="B14" s="3" t="inlineStr">
        <is>
          <t>3</t>
        </is>
      </c>
      <c r="C14" s="3" t="inlineStr">
        <is>
          <t>PRS-DO1</t>
        </is>
      </c>
      <c r="D14" s="3" t="inlineStr">
        <is>
          <t>NTSDDO1602K</t>
        </is>
      </c>
      <c r="E14" s="3" t="inlineStr">
        <is>
          <t>Edge I/O NTS digital output, 16 channels, 24 V DC, 0.5 A</t>
        </is>
      </c>
      <c r="F14" s="3" t="n">
        <v>16</v>
      </c>
      <c r="G14" s="3">
        <f>COUNTIF('IO Allocation'!$L$2:$L$245,C14)</f>
        <v/>
      </c>
      <c r="H14" s="3">
        <f>F14-G14</f>
        <v/>
      </c>
      <c r="I14" s="6">
        <f>IF(F14=0,0,H14/F14)</f>
        <v/>
      </c>
    </row>
    <row r="15">
      <c r="A15" s="3" t="inlineStr">
        <is>
          <t>Prime Minister office station, Edge I/O island</t>
        </is>
      </c>
      <c r="B15" s="3" t="inlineStr">
        <is>
          <t>4</t>
        </is>
      </c>
      <c r="C15" s="3" t="inlineStr">
        <is>
          <t>PMS-DI1</t>
        </is>
      </c>
      <c r="D15" s="3" t="inlineStr">
        <is>
          <t>NTSDDI1602XK</t>
        </is>
      </c>
      <c r="E15" s="3" t="inlineStr">
        <is>
          <t>Edge I/O NTS digital input, 16 channels, 24 V DC</t>
        </is>
      </c>
      <c r="F15" s="3" t="n">
        <v>16</v>
      </c>
      <c r="G15" s="3">
        <f>COUNTIF('IO Allocation'!$L$2:$L$245,C15)</f>
        <v/>
      </c>
      <c r="H15" s="3">
        <f>F15-G15</f>
        <v/>
      </c>
      <c r="I15" s="6">
        <f>IF(F15=0,0,H15/F15)</f>
        <v/>
      </c>
    </row>
    <row r="16">
      <c r="A16" s="3" t="inlineStr">
        <is>
          <t>Prime Minister office station, Edge I/O island</t>
        </is>
      </c>
      <c r="B16" s="3" t="inlineStr">
        <is>
          <t>4</t>
        </is>
      </c>
      <c r="C16" s="3" t="inlineStr">
        <is>
          <t>PMS-DI2</t>
        </is>
      </c>
      <c r="D16" s="3" t="inlineStr">
        <is>
          <t>NTSDDI1602XK</t>
        </is>
      </c>
      <c r="E16" s="3" t="inlineStr">
        <is>
          <t>Edge I/O NTS digital input, 16 channels, 24 V DC</t>
        </is>
      </c>
      <c r="F16" s="3" t="n">
        <v>16</v>
      </c>
      <c r="G16" s="3">
        <f>COUNTIF('IO Allocation'!$L$2:$L$245,C16)</f>
        <v/>
      </c>
      <c r="H16" s="3">
        <f>F16-G16</f>
        <v/>
      </c>
      <c r="I16" s="6">
        <f>IF(F16=0,0,H16/F16)</f>
        <v/>
      </c>
    </row>
    <row r="17">
      <c r="A17" s="3" t="inlineStr">
        <is>
          <t>Prime Minister office station, Edge I/O island</t>
        </is>
      </c>
      <c r="B17" s="3" t="inlineStr">
        <is>
          <t>4</t>
        </is>
      </c>
      <c r="C17" s="3" t="inlineStr">
        <is>
          <t>PMS-DI3</t>
        </is>
      </c>
      <c r="D17" s="3" t="inlineStr">
        <is>
          <t>NTSDDI1602XK</t>
        </is>
      </c>
      <c r="E17" s="3" t="inlineStr">
        <is>
          <t>Edge I/O NTS digital input, 16 channels, 24 V DC</t>
        </is>
      </c>
      <c r="F17" s="3" t="n">
        <v>16</v>
      </c>
      <c r="G17" s="3">
        <f>COUNTIF('IO Allocation'!$L$2:$L$245,C17)</f>
        <v/>
      </c>
      <c r="H17" s="3">
        <f>F17-G17</f>
        <v/>
      </c>
      <c r="I17" s="6">
        <f>IF(F17=0,0,H17/F17)</f>
        <v/>
      </c>
    </row>
    <row r="18">
      <c r="A18" s="3" t="inlineStr">
        <is>
          <t>Prime Minister office station, Edge I/O island</t>
        </is>
      </c>
      <c r="B18" s="3" t="inlineStr">
        <is>
          <t>4</t>
        </is>
      </c>
      <c r="C18" s="3" t="inlineStr">
        <is>
          <t>PMS-DO1</t>
        </is>
      </c>
      <c r="D18" s="3" t="inlineStr">
        <is>
          <t>NTSDDO1602K</t>
        </is>
      </c>
      <c r="E18" s="3" t="inlineStr">
        <is>
          <t>Edge I/O NTS digital output, 16 channels, 24 V DC, 0.5 A</t>
        </is>
      </c>
      <c r="F18" s="3" t="n">
        <v>16</v>
      </c>
      <c r="G18" s="3">
        <f>COUNTIF('IO Allocation'!$L$2:$L$245,C18)</f>
        <v/>
      </c>
      <c r="H18" s="3">
        <f>F18-G18</f>
        <v/>
      </c>
      <c r="I18" s="6">
        <f>IF(F18=0,0,H18/F18)</f>
        <v/>
      </c>
    </row>
    <row r="19">
      <c r="A19" s="3" t="inlineStr">
        <is>
          <t>BESS and inverter transformer yard, Edge I/O island</t>
        </is>
      </c>
      <c r="B19" s="3" t="inlineStr">
        <is>
          <t>5</t>
        </is>
      </c>
      <c r="C19" s="3" t="inlineStr">
        <is>
          <t>YRD-DI1</t>
        </is>
      </c>
      <c r="D19" s="3" t="inlineStr">
        <is>
          <t>NTSDDI1602XK</t>
        </is>
      </c>
      <c r="E19" s="3" t="inlineStr">
        <is>
          <t>Edge I/O NTS digital input, 16 channels, 24 V DC</t>
        </is>
      </c>
      <c r="F19" s="3" t="n">
        <v>16</v>
      </c>
      <c r="G19" s="3">
        <f>COUNTIF('IO Allocation'!$L$2:$L$245,C19)</f>
        <v/>
      </c>
      <c r="H19" s="3">
        <f>F19-G19</f>
        <v/>
      </c>
      <c r="I19" s="6">
        <f>IF(F19=0,0,H19/F19)</f>
        <v/>
      </c>
    </row>
    <row r="20">
      <c r="A20" s="3" t="inlineStr">
        <is>
          <t>BESS and inverter transformer yard, Edge I/O island</t>
        </is>
      </c>
      <c r="B20" s="3" t="inlineStr">
        <is>
          <t>5</t>
        </is>
      </c>
      <c r="C20" s="3" t="inlineStr">
        <is>
          <t>YRD-DI2</t>
        </is>
      </c>
      <c r="D20" s="3" t="inlineStr">
        <is>
          <t>NTSDDI1602XK</t>
        </is>
      </c>
      <c r="E20" s="3" t="inlineStr">
        <is>
          <t>Edge I/O NTS digital input, 16 channels, 24 V DC</t>
        </is>
      </c>
      <c r="F20" s="3" t="n">
        <v>16</v>
      </c>
      <c r="G20" s="3">
        <f>COUNTIF('IO Allocation'!$L$2:$L$245,C20)</f>
        <v/>
      </c>
      <c r="H20" s="3">
        <f>F20-G20</f>
        <v/>
      </c>
      <c r="I20" s="6">
        <f>IF(F20=0,0,H20/F20)</f>
        <v/>
      </c>
    </row>
    <row r="21">
      <c r="A21" s="3" t="inlineStr">
        <is>
          <t>Generator area, Edge I/O island</t>
        </is>
      </c>
      <c r="B21" s="3" t="inlineStr">
        <is>
          <t>6</t>
        </is>
      </c>
      <c r="C21" s="3" t="inlineStr">
        <is>
          <t>GEN-DI1</t>
        </is>
      </c>
      <c r="D21" s="3" t="inlineStr">
        <is>
          <t>NTSDDI1602XK</t>
        </is>
      </c>
      <c r="E21" s="3" t="inlineStr">
        <is>
          <t>Edge I/O NTS digital input, 16 channels, 24 V DC</t>
        </is>
      </c>
      <c r="F21" s="3" t="n">
        <v>16</v>
      </c>
      <c r="G21" s="3">
        <f>COUNTIF('IO Allocation'!$L$2:$L$245,C21)</f>
        <v/>
      </c>
      <c r="H21" s="3">
        <f>F21-G21</f>
        <v/>
      </c>
      <c r="I21" s="6">
        <f>IF(F21=0,0,H21/F21)</f>
        <v/>
      </c>
    </row>
    <row r="22">
      <c r="A22" s="3" t="inlineStr">
        <is>
          <t>Generator area, Edge I/O island</t>
        </is>
      </c>
      <c r="B22" s="3" t="inlineStr">
        <is>
          <t>6</t>
        </is>
      </c>
      <c r="C22" s="3" t="inlineStr">
        <is>
          <t>GEN-DI2</t>
        </is>
      </c>
      <c r="D22" s="3" t="inlineStr">
        <is>
          <t>NTSDDI1602XK</t>
        </is>
      </c>
      <c r="E22" s="3" t="inlineStr">
        <is>
          <t>Edge I/O NTS digital input, 16 channels, 24 V DC</t>
        </is>
      </c>
      <c r="F22" s="3" t="n">
        <v>16</v>
      </c>
      <c r="G22" s="3">
        <f>COUNTIF('IO Allocation'!$L$2:$L$245,C22)</f>
        <v/>
      </c>
      <c r="H22" s="3">
        <f>F22-G22</f>
        <v/>
      </c>
      <c r="I22" s="6">
        <f>IF(F22=0,0,H22/F22)</f>
        <v/>
      </c>
    </row>
    <row r="23">
      <c r="A23" s="3" t="inlineStr">
        <is>
          <t>Generator area, Edge I/O island</t>
        </is>
      </c>
      <c r="B23" s="3" t="inlineStr">
        <is>
          <t>6</t>
        </is>
      </c>
      <c r="C23" s="3" t="inlineStr">
        <is>
          <t>GEN-AI1</t>
        </is>
      </c>
      <c r="D23" s="3" t="inlineStr">
        <is>
          <t>To select</t>
        </is>
      </c>
      <c r="E23" s="3" t="inlineStr">
        <is>
          <t>Edge I/O NTS analogue input, 4 channels</t>
        </is>
      </c>
      <c r="F23" s="3" t="n">
        <v>4</v>
      </c>
      <c r="G23" s="3">
        <f>COUNTIF('IO Allocation'!$L$2:$L$245,C23)</f>
        <v/>
      </c>
      <c r="H23" s="3">
        <f>F23-G23</f>
        <v/>
      </c>
      <c r="I23" s="6">
        <f>IF(F23=0,0,H23/F23)</f>
        <v/>
      </c>
    </row>
    <row r="25">
      <c r="A25" s="7" t="inlineStr">
        <is>
          <t>Totals by location and type</t>
        </is>
      </c>
    </row>
    <row r="26">
      <c r="A26" s="8" t="inlineStr">
        <is>
          <t>Location</t>
        </is>
      </c>
      <c r="B26" s="8" t="inlineStr">
        <is>
          <t>Type</t>
        </is>
      </c>
      <c r="C26" s="8" t="inlineStr">
        <is>
          <t>Signals needed</t>
        </is>
      </c>
      <c r="D26" s="8" t="inlineStr">
        <is>
          <t>Channels installed</t>
        </is>
      </c>
      <c r="E26" s="8" t="inlineStr">
        <is>
          <t>Spare</t>
        </is>
      </c>
      <c r="F26" s="8" t="inlineStr">
        <is>
          <t>Spare %</t>
        </is>
      </c>
    </row>
    <row r="27">
      <c r="A27" s="9" t="inlineStr">
        <is>
          <t>11 kV switchroom</t>
        </is>
      </c>
      <c r="B27" s="9" t="inlineStr">
        <is>
          <t>DI</t>
        </is>
      </c>
      <c r="C27" s="9">
        <f>COUNTIFS('IO Allocation'!$K$2:$K$245,"SWR",'IO Allocation'!$D$2:$D$245,"DI")</f>
        <v/>
      </c>
      <c r="D27" s="9" t="n">
        <v>128</v>
      </c>
      <c r="E27" s="9">
        <f>D27-C27</f>
        <v/>
      </c>
      <c r="F27" s="10">
        <f>IF(D27=0,0,E27/D27)</f>
        <v/>
      </c>
    </row>
    <row r="28">
      <c r="A28" s="9" t="inlineStr">
        <is>
          <t>11 kV switchroom</t>
        </is>
      </c>
      <c r="B28" s="9" t="inlineStr">
        <is>
          <t>DO</t>
        </is>
      </c>
      <c r="C28" s="9">
        <f>COUNTIFS('IO Allocation'!$K$2:$K$245,"SWR",'IO Allocation'!$D$2:$D$245,"DO")</f>
        <v/>
      </c>
      <c r="D28" s="9" t="n">
        <v>32</v>
      </c>
      <c r="E28" s="9">
        <f>D28-C28</f>
        <v/>
      </c>
      <c r="F28" s="10">
        <f>IF(D28=0,0,E28/D28)</f>
        <v/>
      </c>
    </row>
    <row r="29">
      <c r="A29" s="9" t="inlineStr">
        <is>
          <t>11 kV switchroom</t>
        </is>
      </c>
      <c r="B29" s="9" t="inlineStr">
        <is>
          <t>AI</t>
        </is>
      </c>
      <c r="C29" s="9">
        <f>COUNTIFS('IO Allocation'!$K$2:$K$245,"SWR",'IO Allocation'!$D$2:$D$245,"AI")</f>
        <v/>
      </c>
      <c r="D29" s="9" t="n">
        <v>4</v>
      </c>
      <c r="E29" s="9">
        <f>D29-C29</f>
        <v/>
      </c>
      <c r="F29" s="10">
        <f>IF(D29=0,0,E29/D29)</f>
        <v/>
      </c>
    </row>
    <row r="30">
      <c r="A30" s="9" t="inlineStr">
        <is>
          <t>President office station</t>
        </is>
      </c>
      <c r="B30" s="9" t="inlineStr">
        <is>
          <t>DI</t>
        </is>
      </c>
      <c r="C30" s="9">
        <f>COUNTIFS('IO Allocation'!$K$2:$K$245,"PRS",'IO Allocation'!$D$2:$D$245,"DI")</f>
        <v/>
      </c>
      <c r="D30" s="9" t="n">
        <v>48</v>
      </c>
      <c r="E30" s="9">
        <f>D30-C30</f>
        <v/>
      </c>
      <c r="F30" s="10">
        <f>IF(D30=0,0,E30/D30)</f>
        <v/>
      </c>
    </row>
    <row r="31">
      <c r="A31" s="9" t="inlineStr">
        <is>
          <t>President office station</t>
        </is>
      </c>
      <c r="B31" s="9" t="inlineStr">
        <is>
          <t>DO</t>
        </is>
      </c>
      <c r="C31" s="9">
        <f>COUNTIFS('IO Allocation'!$K$2:$K$245,"PRS",'IO Allocation'!$D$2:$D$245,"DO")</f>
        <v/>
      </c>
      <c r="D31" s="9" t="n">
        <v>16</v>
      </c>
      <c r="E31" s="9">
        <f>D31-C31</f>
        <v/>
      </c>
      <c r="F31" s="10">
        <f>IF(D31=0,0,E31/D31)</f>
        <v/>
      </c>
    </row>
    <row r="32">
      <c r="A32" s="9" t="inlineStr">
        <is>
          <t>Prime Minister office station</t>
        </is>
      </c>
      <c r="B32" s="9" t="inlineStr">
        <is>
          <t>DI</t>
        </is>
      </c>
      <c r="C32" s="9">
        <f>COUNTIFS('IO Allocation'!$K$2:$K$245,"PMS",'IO Allocation'!$D$2:$D$245,"DI")</f>
        <v/>
      </c>
      <c r="D32" s="9" t="n">
        <v>48</v>
      </c>
      <c r="E32" s="9">
        <f>D32-C32</f>
        <v/>
      </c>
      <c r="F32" s="10">
        <f>IF(D32=0,0,E32/D32)</f>
        <v/>
      </c>
    </row>
    <row r="33">
      <c r="A33" s="9" t="inlineStr">
        <is>
          <t>Prime Minister office station</t>
        </is>
      </c>
      <c r="B33" s="9" t="inlineStr">
        <is>
          <t>DO</t>
        </is>
      </c>
      <c r="C33" s="9">
        <f>COUNTIFS('IO Allocation'!$K$2:$K$245,"PMS",'IO Allocation'!$D$2:$D$245,"DO")</f>
        <v/>
      </c>
      <c r="D33" s="9" t="n">
        <v>16</v>
      </c>
      <c r="E33" s="9">
        <f>D33-C33</f>
        <v/>
      </c>
      <c r="F33" s="10">
        <f>IF(D33=0,0,E33/D33)</f>
        <v/>
      </c>
    </row>
    <row r="34">
      <c r="A34" s="9" t="inlineStr">
        <is>
          <t>BESS and inverter transformer yard</t>
        </is>
      </c>
      <c r="B34" s="9" t="inlineStr">
        <is>
          <t>DI</t>
        </is>
      </c>
      <c r="C34" s="9">
        <f>COUNTIFS('IO Allocation'!$K$2:$K$245,"YRD",'IO Allocation'!$D$2:$D$245,"DI")</f>
        <v/>
      </c>
      <c r="D34" s="9" t="n">
        <v>32</v>
      </c>
      <c r="E34" s="9">
        <f>D34-C34</f>
        <v/>
      </c>
      <c r="F34" s="10">
        <f>IF(D34=0,0,E34/D34)</f>
        <v/>
      </c>
    </row>
    <row r="35">
      <c r="A35" s="9" t="inlineStr">
        <is>
          <t>Generator area</t>
        </is>
      </c>
      <c r="B35" s="9" t="inlineStr">
        <is>
          <t>DI</t>
        </is>
      </c>
      <c r="C35" s="9">
        <f>COUNTIFS('IO Allocation'!$K$2:$K$245,"GEN",'IO Allocation'!$D$2:$D$245,"DI")</f>
        <v/>
      </c>
      <c r="D35" s="9" t="n">
        <v>32</v>
      </c>
      <c r="E35" s="9">
        <f>D35-C35</f>
        <v/>
      </c>
      <c r="F35" s="10">
        <f>IF(D35=0,0,E35/D35)</f>
        <v/>
      </c>
    </row>
    <row r="36">
      <c r="A36" s="9" t="inlineStr">
        <is>
          <t>Generator area</t>
        </is>
      </c>
      <c r="B36" s="9" t="inlineStr">
        <is>
          <t>AI</t>
        </is>
      </c>
      <c r="C36" s="9">
        <f>COUNTIFS('IO Allocation'!$K$2:$K$245,"GEN",'IO Allocation'!$D$2:$D$245,"AI")</f>
        <v/>
      </c>
      <c r="D36" s="9" t="n">
        <v>4</v>
      </c>
      <c r="E36" s="9">
        <f>D36-C36</f>
        <v/>
      </c>
      <c r="F36" s="10">
        <f>IF(D36=0,0,E36/D36)</f>
        <v/>
      </c>
    </row>
    <row r="37">
      <c r="A37" s="11" t="inlineStr">
        <is>
          <t>All locations</t>
        </is>
      </c>
      <c r="B37" s="11" t="inlineStr">
        <is>
          <t>DI</t>
        </is>
      </c>
      <c r="C37" s="11">
        <f>C27+C30+C32+C34+C35</f>
        <v/>
      </c>
      <c r="D37" s="11">
        <f>D27+D30+D32+D34+D35</f>
        <v/>
      </c>
      <c r="E37" s="11">
        <f>D37-C37</f>
        <v/>
      </c>
      <c r="F37" s="12">
        <f>IF(D37=0,0,E37/D37)</f>
        <v/>
      </c>
    </row>
    <row r="38">
      <c r="A38" s="11" t="inlineStr">
        <is>
          <t>All locations</t>
        </is>
      </c>
      <c r="B38" s="11" t="inlineStr">
        <is>
          <t>DO</t>
        </is>
      </c>
      <c r="C38" s="11">
        <f>C28+C31+C33</f>
        <v/>
      </c>
      <c r="D38" s="11">
        <f>D28+D31+D33</f>
        <v/>
      </c>
      <c r="E38" s="11">
        <f>D38-C38</f>
        <v/>
      </c>
      <c r="F38" s="12">
        <f>IF(D38=0,0,E38/D38)</f>
        <v/>
      </c>
    </row>
    <row r="39">
      <c r="A39" s="11" t="inlineStr">
        <is>
          <t>All locations</t>
        </is>
      </c>
      <c r="B39" s="11" t="inlineStr">
        <is>
          <t>AI</t>
        </is>
      </c>
      <c r="C39" s="11">
        <f>C29+C36</f>
        <v/>
      </c>
      <c r="D39" s="11">
        <f>D29+D36</f>
        <v/>
      </c>
      <c r="E39" s="11">
        <f>D39-C39</f>
        <v/>
      </c>
      <c r="F39" s="12">
        <f>IF(D39=0,0,E39/D39)</f>
        <v/>
      </c>
    </row>
    <row r="41" ht="30" customHeight="1">
      <c r="A41" s="13" t="inlineStr">
        <is>
          <t>Switchroom: one M580 Ethernet remote drop (BMEXBP1200, BMXCPS3020, BMECRA31210) holds all switchroom I/O, the analogue module and the BMXNOM0200 serial module; the CPU rack holds no I/O.</t>
        </is>
      </c>
    </row>
    <row r="42" ht="30" customHeight="1">
      <c r="A42" s="13" t="inlineStr">
        <is>
          <t>Each Edge I/O island: NTSNEC1200K network interface, NTSPFB1002HK power supply, the modules listed, terminal blocks per module, in an enclosure suited to its location (outdoor IP55 at the yard and generator area).</t>
        </is>
      </c>
    </row>
    <row r="43" ht="30" customHeight="1">
      <c r="A43" s="13" t="inlineStr">
        <is>
          <t>Office station islands also carry an NTSFMB0120K serial master for the ST260E RMU relay (Modbus RTU). Add one at the generator area if the generator controllers are RS485 only.</t>
        </is>
      </c>
    </row>
    <row r="44" ht="30" customHeight="1">
      <c r="A44" s="13" t="inlineStr">
        <is>
          <t>President and Prime Minister islands are identical; the offer labels both "PM office LVDB".</t>
        </is>
      </c>
    </row>
  </sheetData>
  <mergeCells count="4">
    <mergeCell ref="A42:I42"/>
    <mergeCell ref="A43:I43"/>
    <mergeCell ref="A41:I41"/>
    <mergeCell ref="A44:I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34" customWidth="1" min="3" max="3"/>
    <col width="6" customWidth="1" min="4" max="4"/>
    <col width="16" customWidth="1" min="5" max="5"/>
    <col width="8" customWidth="1" min="6" max="6"/>
    <col width="10" customWidth="1" min="7" max="7"/>
    <col width="8" customWidth="1" min="8" max="8"/>
    <col width="10" customWidth="1" min="9" max="9"/>
    <col width="8" customWidth="1" min="10" max="10"/>
    <col width="10" customWidth="1" min="11" max="11"/>
    <col width="11" customWidth="1" min="12" max="12"/>
    <col width="18" customWidth="1" min="13" max="13"/>
    <col width="8" customWidth="1" min="14" max="14"/>
    <col width="46" customWidth="1" min="15" max="15"/>
    <col width="10" customWidth="1" min="16" max="16"/>
  </cols>
  <sheetData>
    <row r="1">
      <c r="A1" s="2" t="inlineStr">
        <is>
          <t>Tag</t>
        </is>
      </c>
      <c r="B1" s="2" t="inlineStr">
        <is>
          <t>Description</t>
        </is>
      </c>
      <c r="C1" s="2" t="inlineStr">
        <is>
          <t>Equipment</t>
        </is>
      </c>
      <c r="D1" s="2" t="inlineStr">
        <is>
          <t>Type</t>
        </is>
      </c>
      <c r="E1" s="2" t="inlineStr">
        <is>
          <t>Normal state / range</t>
        </is>
      </c>
      <c r="F1" s="2" t="inlineStr">
        <is>
          <t>Alarm level</t>
        </is>
      </c>
      <c r="G1" s="2" t="inlineStr">
        <is>
          <t>Operated by</t>
        </is>
      </c>
      <c r="H1" s="2" t="inlineStr">
        <is>
          <t>Design row</t>
        </is>
      </c>
      <c r="I1" s="2" t="inlineStr">
        <is>
          <t>Design module</t>
        </is>
      </c>
      <c r="J1" s="2" t="inlineStr">
        <is>
          <t>Design channel</t>
        </is>
      </c>
      <c r="K1" s="2" t="inlineStr">
        <is>
          <t>Schneider location</t>
        </is>
      </c>
      <c r="L1" s="2" t="inlineStr">
        <is>
          <t>Schneider module</t>
        </is>
      </c>
      <c r="M1" s="2" t="inlineStr">
        <is>
          <t>Module reference</t>
        </is>
      </c>
      <c r="N1" s="2" t="inlineStr">
        <is>
          <t>Channel</t>
        </is>
      </c>
      <c r="O1" s="2" t="inlineStr">
        <is>
          <t>Interface</t>
        </is>
      </c>
      <c r="P1" s="2" t="inlineStr">
        <is>
          <t>Interposing relay</t>
        </is>
      </c>
    </row>
    <row r="2" ht="15" customHeight="1">
      <c r="A2" s="14" t="inlineStr">
        <is>
          <t>AH1-CB-OPEN</t>
        </is>
      </c>
      <c r="B2" s="14" t="inlineStr">
        <is>
          <t>Circuit breaker open</t>
        </is>
      </c>
      <c r="C2" s="14" t="inlineStr">
        <is>
          <t>11 kV panel AH1, Generator incomer</t>
        </is>
      </c>
      <c r="D2" s="14" t="inlineStr">
        <is>
          <t>DI</t>
        </is>
      </c>
      <c r="E2" s="14" t="inlineStr">
        <is>
          <t>Status</t>
        </is>
      </c>
      <c r="F2" s="14" t="inlineStr">
        <is>
          <t>Status</t>
        </is>
      </c>
      <c r="G2" s="14" t="inlineStr">
        <is>
          <t>-</t>
        </is>
      </c>
      <c r="H2" s="14" t="n">
        <v>1</v>
      </c>
      <c r="I2" s="14" t="inlineStr">
        <is>
          <t>R1-DI01</t>
        </is>
      </c>
      <c r="J2" s="14" t="n">
        <v>1</v>
      </c>
      <c r="K2" s="14" t="inlineStr">
        <is>
          <t>SWR</t>
        </is>
      </c>
      <c r="L2" s="14" t="inlineStr">
        <is>
          <t>SWR-DI1</t>
        </is>
      </c>
      <c r="M2" s="14" t="inlineStr">
        <is>
          <t>BMXDDI3202K</t>
        </is>
      </c>
      <c r="N2" s="14" t="n">
        <v>1</v>
      </c>
      <c r="O2" s="14" t="inlineStr">
        <is>
          <t>Dry contact, wetted 24 V DC from the panel supply</t>
        </is>
      </c>
      <c r="P2" s="14" t="inlineStr"/>
    </row>
    <row r="3" ht="15" customHeight="1">
      <c r="A3" s="14" t="inlineStr">
        <is>
          <t>AH1-CB-CLSD</t>
        </is>
      </c>
      <c r="B3" s="14" t="inlineStr">
        <is>
          <t>Circuit breaker closed</t>
        </is>
      </c>
      <c r="C3" s="14" t="inlineStr">
        <is>
          <t>11 kV panel AH1, Generator incomer</t>
        </is>
      </c>
      <c r="D3" s="14" t="inlineStr">
        <is>
          <t>DI</t>
        </is>
      </c>
      <c r="E3" s="14" t="inlineStr">
        <is>
          <t>Status</t>
        </is>
      </c>
      <c r="F3" s="14" t="inlineStr">
        <is>
          <t>Status</t>
        </is>
      </c>
      <c r="G3" s="14" t="inlineStr">
        <is>
          <t>-</t>
        </is>
      </c>
      <c r="H3" s="14" t="n">
        <v>1</v>
      </c>
      <c r="I3" s="14" t="inlineStr">
        <is>
          <t>R1-DI01</t>
        </is>
      </c>
      <c r="J3" s="14" t="n">
        <v>2</v>
      </c>
      <c r="K3" s="14" t="inlineStr">
        <is>
          <t>SWR</t>
        </is>
      </c>
      <c r="L3" s="14" t="inlineStr">
        <is>
          <t>SWR-DI1</t>
        </is>
      </c>
      <c r="M3" s="14" t="inlineStr">
        <is>
          <t>BMXDDI3202K</t>
        </is>
      </c>
      <c r="N3" s="14" t="n">
        <v>2</v>
      </c>
      <c r="O3" s="14" t="inlineStr">
        <is>
          <t>Dry contact, wetted 24 V DC from the panel supply</t>
        </is>
      </c>
      <c r="P3" s="14" t="inlineStr"/>
    </row>
    <row r="4" ht="15" customHeight="1">
      <c r="A4" s="14" t="inlineStr">
        <is>
          <t>AH1-CB-TRIP</t>
        </is>
      </c>
      <c r="B4" s="14" t="inlineStr">
        <is>
          <t>Circuit breaker tripped by protection</t>
        </is>
      </c>
      <c r="C4" s="14" t="inlineStr">
        <is>
          <t>11 kV panel AH1, Generator incomer</t>
        </is>
      </c>
      <c r="D4" s="14" t="inlineStr">
        <is>
          <t>DI</t>
        </is>
      </c>
      <c r="E4" s="14" t="inlineStr">
        <is>
          <t>Normally open</t>
        </is>
      </c>
      <c r="F4" s="14" t="inlineStr">
        <is>
          <t>1</t>
        </is>
      </c>
      <c r="G4" s="14" t="inlineStr">
        <is>
          <t>-</t>
        </is>
      </c>
      <c r="H4" s="14" t="n">
        <v>1</v>
      </c>
      <c r="I4" s="14" t="inlineStr">
        <is>
          <t>R1-DI01</t>
        </is>
      </c>
      <c r="J4" s="14" t="n">
        <v>3</v>
      </c>
      <c r="K4" s="14" t="inlineStr">
        <is>
          <t>SWR</t>
        </is>
      </c>
      <c r="L4" s="14" t="inlineStr">
        <is>
          <t>SWR-DI1</t>
        </is>
      </c>
      <c r="M4" s="14" t="inlineStr">
        <is>
          <t>BMXDDI3202K</t>
        </is>
      </c>
      <c r="N4" s="14" t="n">
        <v>3</v>
      </c>
      <c r="O4" s="14" t="inlineStr">
        <is>
          <t>Dry contact, wetted 24 V DC from the panel supply</t>
        </is>
      </c>
      <c r="P4" s="14" t="inlineStr"/>
    </row>
    <row r="5" ht="15" customHeight="1">
      <c r="A5" s="14" t="inlineStr">
        <is>
          <t>AH1-ES-CLSD</t>
        </is>
      </c>
      <c r="B5" s="14" t="inlineStr">
        <is>
          <t>Earth switch closed</t>
        </is>
      </c>
      <c r="C5" s="14" t="inlineStr">
        <is>
          <t>11 kV panel AH1, Generator incomer</t>
        </is>
      </c>
      <c r="D5" s="14" t="inlineStr">
        <is>
          <t>DI</t>
        </is>
      </c>
      <c r="E5" s="14" t="inlineStr">
        <is>
          <t>Status</t>
        </is>
      </c>
      <c r="F5" s="14" t="inlineStr">
        <is>
          <t>Status</t>
        </is>
      </c>
      <c r="G5" s="14" t="inlineStr">
        <is>
          <t>-</t>
        </is>
      </c>
      <c r="H5" s="14" t="n">
        <v>1</v>
      </c>
      <c r="I5" s="14" t="inlineStr">
        <is>
          <t>R1-DI01</t>
        </is>
      </c>
      <c r="J5" s="14" t="n">
        <v>4</v>
      </c>
      <c r="K5" s="14" t="inlineStr">
        <is>
          <t>SWR</t>
        </is>
      </c>
      <c r="L5" s="14" t="inlineStr">
        <is>
          <t>SWR-DI1</t>
        </is>
      </c>
      <c r="M5" s="14" t="inlineStr">
        <is>
          <t>BMXDDI3202K</t>
        </is>
      </c>
      <c r="N5" s="14" t="n">
        <v>4</v>
      </c>
      <c r="O5" s="14" t="inlineStr">
        <is>
          <t>Dry contact, wetted 24 V DC from the panel supply</t>
        </is>
      </c>
      <c r="P5" s="14" t="inlineStr"/>
    </row>
    <row r="6" ht="15" customHeight="1">
      <c r="A6" s="14" t="inlineStr">
        <is>
          <t>AH1-LR-REM</t>
        </is>
      </c>
      <c r="B6" s="14" t="inlineStr">
        <is>
          <t>Local/remote switch in remote</t>
        </is>
      </c>
      <c r="C6" s="14" t="inlineStr">
        <is>
          <t>11 kV panel AH1, Generator incomer</t>
        </is>
      </c>
      <c r="D6" s="14" t="inlineStr">
        <is>
          <t>DI</t>
        </is>
      </c>
      <c r="E6" s="14" t="inlineStr">
        <is>
          <t>Status</t>
        </is>
      </c>
      <c r="F6" s="14" t="inlineStr">
        <is>
          <t>Status</t>
        </is>
      </c>
      <c r="G6" s="14" t="inlineStr">
        <is>
          <t>-</t>
        </is>
      </c>
      <c r="H6" s="14" t="n">
        <v>1</v>
      </c>
      <c r="I6" s="14" t="inlineStr">
        <is>
          <t>R1-DI01</t>
        </is>
      </c>
      <c r="J6" s="14" t="n">
        <v>5</v>
      </c>
      <c r="K6" s="14" t="inlineStr">
        <is>
          <t>SWR</t>
        </is>
      </c>
      <c r="L6" s="14" t="inlineStr">
        <is>
          <t>SWR-DI1</t>
        </is>
      </c>
      <c r="M6" s="14" t="inlineStr">
        <is>
          <t>BMXDDI3202K</t>
        </is>
      </c>
      <c r="N6" s="14" t="n">
        <v>5</v>
      </c>
      <c r="O6" s="14" t="inlineStr">
        <is>
          <t>Dry contact, wetted 24 V DC from the panel supply</t>
        </is>
      </c>
      <c r="P6" s="14" t="inlineStr"/>
    </row>
    <row r="7" ht="15" customHeight="1">
      <c r="A7" s="14" t="inlineStr">
        <is>
          <t>AH1-SPR-CHG</t>
        </is>
      </c>
      <c r="B7" s="14" t="inlineStr">
        <is>
          <t>Closing spring charged</t>
        </is>
      </c>
      <c r="C7" s="14" t="inlineStr">
        <is>
          <t>11 kV panel AH1, Generator incomer</t>
        </is>
      </c>
      <c r="D7" s="14" t="inlineStr">
        <is>
          <t>DI</t>
        </is>
      </c>
      <c r="E7" s="14" t="inlineStr">
        <is>
          <t>Normally closed</t>
        </is>
      </c>
      <c r="F7" s="14" t="inlineStr">
        <is>
          <t>3</t>
        </is>
      </c>
      <c r="G7" s="14" t="inlineStr">
        <is>
          <t>-</t>
        </is>
      </c>
      <c r="H7" s="14" t="n">
        <v>1</v>
      </c>
      <c r="I7" s="14" t="inlineStr">
        <is>
          <t>R1-DI01</t>
        </is>
      </c>
      <c r="J7" s="14" t="n">
        <v>6</v>
      </c>
      <c r="K7" s="14" t="inlineStr">
        <is>
          <t>SWR</t>
        </is>
      </c>
      <c r="L7" s="14" t="inlineStr">
        <is>
          <t>SWR-DI1</t>
        </is>
      </c>
      <c r="M7" s="14" t="inlineStr">
        <is>
          <t>BMXDDI3202K</t>
        </is>
      </c>
      <c r="N7" s="14" t="n">
        <v>6</v>
      </c>
      <c r="O7" s="14" t="inlineStr">
        <is>
          <t>Dry contact, wetted 24 V DC from the panel supply</t>
        </is>
      </c>
      <c r="P7" s="14" t="inlineStr"/>
    </row>
    <row r="8" ht="15" customHeight="1">
      <c r="A8" s="14" t="inlineStr">
        <is>
          <t>AH1-GAS-LOW</t>
        </is>
      </c>
      <c r="B8" s="14" t="inlineStr">
        <is>
          <t>Gas pressure low</t>
        </is>
      </c>
      <c r="C8" s="14" t="inlineStr">
        <is>
          <t>11 kV panel AH1, Generator incomer</t>
        </is>
      </c>
      <c r="D8" s="14" t="inlineStr">
        <is>
          <t>DI</t>
        </is>
      </c>
      <c r="E8" s="14" t="inlineStr">
        <is>
          <t>Normally open</t>
        </is>
      </c>
      <c r="F8" s="14" t="inlineStr">
        <is>
          <t>2</t>
        </is>
      </c>
      <c r="G8" s="14" t="inlineStr">
        <is>
          <t>-</t>
        </is>
      </c>
      <c r="H8" s="14" t="n">
        <v>1</v>
      </c>
      <c r="I8" s="14" t="inlineStr">
        <is>
          <t>R1-DI01</t>
        </is>
      </c>
      <c r="J8" s="14" t="n">
        <v>7</v>
      </c>
      <c r="K8" s="14" t="inlineStr">
        <is>
          <t>SWR</t>
        </is>
      </c>
      <c r="L8" s="14" t="inlineStr">
        <is>
          <t>SWR-DI1</t>
        </is>
      </c>
      <c r="M8" s="14" t="inlineStr">
        <is>
          <t>BMXDDI3202K</t>
        </is>
      </c>
      <c r="N8" s="14" t="n">
        <v>7</v>
      </c>
      <c r="O8" s="14" t="inlineStr">
        <is>
          <t>Dry contact, wetted 24 V DC from the panel supply</t>
        </is>
      </c>
      <c r="P8" s="14" t="inlineStr"/>
    </row>
    <row r="9" ht="15" customHeight="1">
      <c r="A9" s="14" t="inlineStr">
        <is>
          <t>AH1-RLY-OK</t>
        </is>
      </c>
      <c r="B9" s="14" t="inlineStr">
        <is>
          <t>Protection relay healthy</t>
        </is>
      </c>
      <c r="C9" s="14" t="inlineStr">
        <is>
          <t>11 kV panel AH1, Generator incomer</t>
        </is>
      </c>
      <c r="D9" s="14" t="inlineStr">
        <is>
          <t>DI</t>
        </is>
      </c>
      <c r="E9" s="14" t="inlineStr">
        <is>
          <t>Normally closed</t>
        </is>
      </c>
      <c r="F9" s="14" t="inlineStr">
        <is>
          <t>2</t>
        </is>
      </c>
      <c r="G9" s="14" t="inlineStr">
        <is>
          <t>-</t>
        </is>
      </c>
      <c r="H9" s="14" t="n">
        <v>1</v>
      </c>
      <c r="I9" s="14" t="inlineStr">
        <is>
          <t>R1-DI01</t>
        </is>
      </c>
      <c r="J9" s="14" t="n">
        <v>8</v>
      </c>
      <c r="K9" s="14" t="inlineStr">
        <is>
          <t>SWR</t>
        </is>
      </c>
      <c r="L9" s="14" t="inlineStr">
        <is>
          <t>SWR-DI1</t>
        </is>
      </c>
      <c r="M9" s="14" t="inlineStr">
        <is>
          <t>BMXDDI3202K</t>
        </is>
      </c>
      <c r="N9" s="14" t="n">
        <v>8</v>
      </c>
      <c r="O9" s="14" t="inlineStr">
        <is>
          <t>Dry contact, wetted 24 V DC from the panel supply</t>
        </is>
      </c>
      <c r="P9" s="14" t="inlineStr"/>
    </row>
    <row r="10" ht="15" customHeight="1">
      <c r="A10" s="14" t="inlineStr">
        <is>
          <t>AH1-AUX-OK</t>
        </is>
      </c>
      <c r="B10" s="14" t="inlineStr">
        <is>
          <t>Control supply healthy</t>
        </is>
      </c>
      <c r="C10" s="14" t="inlineStr">
        <is>
          <t>11 kV panel AH1, Generator incomer</t>
        </is>
      </c>
      <c r="D10" s="14" t="inlineStr">
        <is>
          <t>DI</t>
        </is>
      </c>
      <c r="E10" s="14" t="inlineStr">
        <is>
          <t>Normally closed</t>
        </is>
      </c>
      <c r="F10" s="14" t="inlineStr">
        <is>
          <t>2</t>
        </is>
      </c>
      <c r="G10" s="14" t="inlineStr">
        <is>
          <t>-</t>
        </is>
      </c>
      <c r="H10" s="14" t="n">
        <v>1</v>
      </c>
      <c r="I10" s="14" t="inlineStr">
        <is>
          <t>R1-DI01</t>
        </is>
      </c>
      <c r="J10" s="14" t="n">
        <v>9</v>
      </c>
      <c r="K10" s="14" t="inlineStr">
        <is>
          <t>SWR</t>
        </is>
      </c>
      <c r="L10" s="14" t="inlineStr">
        <is>
          <t>SWR-DI1</t>
        </is>
      </c>
      <c r="M10" s="14" t="inlineStr">
        <is>
          <t>BMXDDI3202K</t>
        </is>
      </c>
      <c r="N10" s="14" t="n">
        <v>9</v>
      </c>
      <c r="O10" s="14" t="inlineStr">
        <is>
          <t>Dry contact, wetted 24 V DC from the panel supply</t>
        </is>
      </c>
      <c r="P10" s="14" t="inlineStr"/>
    </row>
    <row r="11" ht="15" customHeight="1">
      <c r="A11" s="14" t="inlineStr">
        <is>
          <t>AH2-CB-OPEN</t>
        </is>
      </c>
      <c r="B11" s="14" t="inlineStr">
        <is>
          <t>Circuit breaker open</t>
        </is>
      </c>
      <c r="C11" s="14" t="inlineStr">
        <is>
          <t>11 kV panel AH2, PV incomer</t>
        </is>
      </c>
      <c r="D11" s="14" t="inlineStr">
        <is>
          <t>DI</t>
        </is>
      </c>
      <c r="E11" s="14" t="inlineStr">
        <is>
          <t>Status</t>
        </is>
      </c>
      <c r="F11" s="14" t="inlineStr">
        <is>
          <t>Status</t>
        </is>
      </c>
      <c r="G11" s="14" t="inlineStr">
        <is>
          <t>-</t>
        </is>
      </c>
      <c r="H11" s="14" t="n">
        <v>1</v>
      </c>
      <c r="I11" s="14" t="inlineStr">
        <is>
          <t>R1-DI01</t>
        </is>
      </c>
      <c r="J11" s="14" t="n">
        <v>10</v>
      </c>
      <c r="K11" s="14" t="inlineStr">
        <is>
          <t>SWR</t>
        </is>
      </c>
      <c r="L11" s="14" t="inlineStr">
        <is>
          <t>SWR-DI1</t>
        </is>
      </c>
      <c r="M11" s="14" t="inlineStr">
        <is>
          <t>BMXDDI3202K</t>
        </is>
      </c>
      <c r="N11" s="14" t="n">
        <v>10</v>
      </c>
      <c r="O11" s="14" t="inlineStr">
        <is>
          <t>Dry contact, wetted 24 V DC from the panel supply</t>
        </is>
      </c>
      <c r="P11" s="14" t="inlineStr"/>
    </row>
    <row r="12" ht="15" customHeight="1">
      <c r="A12" s="14" t="inlineStr">
        <is>
          <t>AH2-CB-CLSD</t>
        </is>
      </c>
      <c r="B12" s="14" t="inlineStr">
        <is>
          <t>Circuit breaker closed</t>
        </is>
      </c>
      <c r="C12" s="14" t="inlineStr">
        <is>
          <t>11 kV panel AH2, PV incomer</t>
        </is>
      </c>
      <c r="D12" s="14" t="inlineStr">
        <is>
          <t>DI</t>
        </is>
      </c>
      <c r="E12" s="14" t="inlineStr">
        <is>
          <t>Status</t>
        </is>
      </c>
      <c r="F12" s="14" t="inlineStr">
        <is>
          <t>Status</t>
        </is>
      </c>
      <c r="G12" s="14" t="inlineStr">
        <is>
          <t>-</t>
        </is>
      </c>
      <c r="H12" s="14" t="n">
        <v>1</v>
      </c>
      <c r="I12" s="14" t="inlineStr">
        <is>
          <t>R1-DI01</t>
        </is>
      </c>
      <c r="J12" s="14" t="n">
        <v>11</v>
      </c>
      <c r="K12" s="14" t="inlineStr">
        <is>
          <t>SWR</t>
        </is>
      </c>
      <c r="L12" s="14" t="inlineStr">
        <is>
          <t>SWR-DI1</t>
        </is>
      </c>
      <c r="M12" s="14" t="inlineStr">
        <is>
          <t>BMXDDI3202K</t>
        </is>
      </c>
      <c r="N12" s="14" t="n">
        <v>11</v>
      </c>
      <c r="O12" s="14" t="inlineStr">
        <is>
          <t>Dry contact, wetted 24 V DC from the panel supply</t>
        </is>
      </c>
      <c r="P12" s="14" t="inlineStr"/>
    </row>
    <row r="13" ht="15" customHeight="1">
      <c r="A13" s="14" t="inlineStr">
        <is>
          <t>AH2-CB-TRIP</t>
        </is>
      </c>
      <c r="B13" s="14" t="inlineStr">
        <is>
          <t>Circuit breaker tripped by protection</t>
        </is>
      </c>
      <c r="C13" s="14" t="inlineStr">
        <is>
          <t>11 kV panel AH2, PV incomer</t>
        </is>
      </c>
      <c r="D13" s="14" t="inlineStr">
        <is>
          <t>DI</t>
        </is>
      </c>
      <c r="E13" s="14" t="inlineStr">
        <is>
          <t>Normally open</t>
        </is>
      </c>
      <c r="F13" s="14" t="inlineStr">
        <is>
          <t>1</t>
        </is>
      </c>
      <c r="G13" s="14" t="inlineStr">
        <is>
          <t>-</t>
        </is>
      </c>
      <c r="H13" s="14" t="n">
        <v>1</v>
      </c>
      <c r="I13" s="14" t="inlineStr">
        <is>
          <t>R1-DI01</t>
        </is>
      </c>
      <c r="J13" s="14" t="n">
        <v>12</v>
      </c>
      <c r="K13" s="14" t="inlineStr">
        <is>
          <t>SWR</t>
        </is>
      </c>
      <c r="L13" s="14" t="inlineStr">
        <is>
          <t>SWR-DI1</t>
        </is>
      </c>
      <c r="M13" s="14" t="inlineStr">
        <is>
          <t>BMXDDI3202K</t>
        </is>
      </c>
      <c r="N13" s="14" t="n">
        <v>12</v>
      </c>
      <c r="O13" s="14" t="inlineStr">
        <is>
          <t>Dry contact, wetted 24 V DC from the panel supply</t>
        </is>
      </c>
      <c r="P13" s="14" t="inlineStr"/>
    </row>
    <row r="14" ht="15" customHeight="1">
      <c r="A14" s="14" t="inlineStr">
        <is>
          <t>AH2-ES-CLSD</t>
        </is>
      </c>
      <c r="B14" s="14" t="inlineStr">
        <is>
          <t>Earth switch closed</t>
        </is>
      </c>
      <c r="C14" s="14" t="inlineStr">
        <is>
          <t>11 kV panel AH2, PV incomer</t>
        </is>
      </c>
      <c r="D14" s="14" t="inlineStr">
        <is>
          <t>DI</t>
        </is>
      </c>
      <c r="E14" s="14" t="inlineStr">
        <is>
          <t>Status</t>
        </is>
      </c>
      <c r="F14" s="14" t="inlineStr">
        <is>
          <t>Status</t>
        </is>
      </c>
      <c r="G14" s="14" t="inlineStr">
        <is>
          <t>-</t>
        </is>
      </c>
      <c r="H14" s="14" t="n">
        <v>1</v>
      </c>
      <c r="I14" s="14" t="inlineStr">
        <is>
          <t>R1-DI01</t>
        </is>
      </c>
      <c r="J14" s="14" t="n">
        <v>13</v>
      </c>
      <c r="K14" s="14" t="inlineStr">
        <is>
          <t>SWR</t>
        </is>
      </c>
      <c r="L14" s="14" t="inlineStr">
        <is>
          <t>SWR-DI1</t>
        </is>
      </c>
      <c r="M14" s="14" t="inlineStr">
        <is>
          <t>BMXDDI3202K</t>
        </is>
      </c>
      <c r="N14" s="14" t="n">
        <v>13</v>
      </c>
      <c r="O14" s="14" t="inlineStr">
        <is>
          <t>Dry contact, wetted 24 V DC from the panel supply</t>
        </is>
      </c>
      <c r="P14" s="14" t="inlineStr"/>
    </row>
    <row r="15" ht="15" customHeight="1">
      <c r="A15" s="14" t="inlineStr">
        <is>
          <t>AH2-LR-REM</t>
        </is>
      </c>
      <c r="B15" s="14" t="inlineStr">
        <is>
          <t>Local/remote switch in remote</t>
        </is>
      </c>
      <c r="C15" s="14" t="inlineStr">
        <is>
          <t>11 kV panel AH2, PV incomer</t>
        </is>
      </c>
      <c r="D15" s="14" t="inlineStr">
        <is>
          <t>DI</t>
        </is>
      </c>
      <c r="E15" s="14" t="inlineStr">
        <is>
          <t>Status</t>
        </is>
      </c>
      <c r="F15" s="14" t="inlineStr">
        <is>
          <t>Status</t>
        </is>
      </c>
      <c r="G15" s="14" t="inlineStr">
        <is>
          <t>-</t>
        </is>
      </c>
      <c r="H15" s="14" t="n">
        <v>1</v>
      </c>
      <c r="I15" s="14" t="inlineStr">
        <is>
          <t>R1-DI01</t>
        </is>
      </c>
      <c r="J15" s="14" t="n">
        <v>14</v>
      </c>
      <c r="K15" s="14" t="inlineStr">
        <is>
          <t>SWR</t>
        </is>
      </c>
      <c r="L15" s="14" t="inlineStr">
        <is>
          <t>SWR-DI1</t>
        </is>
      </c>
      <c r="M15" s="14" t="inlineStr">
        <is>
          <t>BMXDDI3202K</t>
        </is>
      </c>
      <c r="N15" s="14" t="n">
        <v>14</v>
      </c>
      <c r="O15" s="14" t="inlineStr">
        <is>
          <t>Dry contact, wetted 24 V DC from the panel supply</t>
        </is>
      </c>
      <c r="P15" s="14" t="inlineStr"/>
    </row>
    <row r="16" ht="15" customHeight="1">
      <c r="A16" s="14" t="inlineStr">
        <is>
          <t>AH2-SPR-CHG</t>
        </is>
      </c>
      <c r="B16" s="14" t="inlineStr">
        <is>
          <t>Closing spring charged</t>
        </is>
      </c>
      <c r="C16" s="14" t="inlineStr">
        <is>
          <t>11 kV panel AH2, PV incomer</t>
        </is>
      </c>
      <c r="D16" s="14" t="inlineStr">
        <is>
          <t>DI</t>
        </is>
      </c>
      <c r="E16" s="14" t="inlineStr">
        <is>
          <t>Normally closed</t>
        </is>
      </c>
      <c r="F16" s="14" t="inlineStr">
        <is>
          <t>3</t>
        </is>
      </c>
      <c r="G16" s="14" t="inlineStr">
        <is>
          <t>-</t>
        </is>
      </c>
      <c r="H16" s="14" t="n">
        <v>1</v>
      </c>
      <c r="I16" s="14" t="inlineStr">
        <is>
          <t>R1-DI01</t>
        </is>
      </c>
      <c r="J16" s="14" t="n">
        <v>15</v>
      </c>
      <c r="K16" s="14" t="inlineStr">
        <is>
          <t>SWR</t>
        </is>
      </c>
      <c r="L16" s="14" t="inlineStr">
        <is>
          <t>SWR-DI1</t>
        </is>
      </c>
      <c r="M16" s="14" t="inlineStr">
        <is>
          <t>BMXDDI3202K</t>
        </is>
      </c>
      <c r="N16" s="14" t="n">
        <v>15</v>
      </c>
      <c r="O16" s="14" t="inlineStr">
        <is>
          <t>Dry contact, wetted 24 V DC from the panel supply</t>
        </is>
      </c>
      <c r="P16" s="14" t="inlineStr"/>
    </row>
    <row r="17" ht="15" customHeight="1">
      <c r="A17" s="14" t="inlineStr">
        <is>
          <t>AH2-GAS-LOW</t>
        </is>
      </c>
      <c r="B17" s="14" t="inlineStr">
        <is>
          <t>Gas pressure low</t>
        </is>
      </c>
      <c r="C17" s="14" t="inlineStr">
        <is>
          <t>11 kV panel AH2, PV incomer</t>
        </is>
      </c>
      <c r="D17" s="14" t="inlineStr">
        <is>
          <t>DI</t>
        </is>
      </c>
      <c r="E17" s="14" t="inlineStr">
        <is>
          <t>Normally open</t>
        </is>
      </c>
      <c r="F17" s="14" t="inlineStr">
        <is>
          <t>2</t>
        </is>
      </c>
      <c r="G17" s="14" t="inlineStr">
        <is>
          <t>-</t>
        </is>
      </c>
      <c r="H17" s="14" t="n">
        <v>1</v>
      </c>
      <c r="I17" s="14" t="inlineStr">
        <is>
          <t>R1-DI01</t>
        </is>
      </c>
      <c r="J17" s="14" t="n">
        <v>16</v>
      </c>
      <c r="K17" s="14" t="inlineStr">
        <is>
          <t>SWR</t>
        </is>
      </c>
      <c r="L17" s="14" t="inlineStr">
        <is>
          <t>SWR-DI1</t>
        </is>
      </c>
      <c r="M17" s="14" t="inlineStr">
        <is>
          <t>BMXDDI3202K</t>
        </is>
      </c>
      <c r="N17" s="14" t="n">
        <v>16</v>
      </c>
      <c r="O17" s="14" t="inlineStr">
        <is>
          <t>Dry contact, wetted 24 V DC from the panel supply</t>
        </is>
      </c>
      <c r="P17" s="14" t="inlineStr"/>
    </row>
    <row r="18" ht="15" customHeight="1">
      <c r="A18" s="14" t="inlineStr">
        <is>
          <t>AH2-RLY-OK</t>
        </is>
      </c>
      <c r="B18" s="14" t="inlineStr">
        <is>
          <t>Protection relay healthy</t>
        </is>
      </c>
      <c r="C18" s="14" t="inlineStr">
        <is>
          <t>11 kV panel AH2, PV incomer</t>
        </is>
      </c>
      <c r="D18" s="14" t="inlineStr">
        <is>
          <t>DI</t>
        </is>
      </c>
      <c r="E18" s="14" t="inlineStr">
        <is>
          <t>Normally closed</t>
        </is>
      </c>
      <c r="F18" s="14" t="inlineStr">
        <is>
          <t>2</t>
        </is>
      </c>
      <c r="G18" s="14" t="inlineStr">
        <is>
          <t>-</t>
        </is>
      </c>
      <c r="H18" s="14" t="n">
        <v>1</v>
      </c>
      <c r="I18" s="14" t="inlineStr">
        <is>
          <t>R1-DI02</t>
        </is>
      </c>
      <c r="J18" s="14" t="n">
        <v>1</v>
      </c>
      <c r="K18" s="14" t="inlineStr">
        <is>
          <t>SWR</t>
        </is>
      </c>
      <c r="L18" s="14" t="inlineStr">
        <is>
          <t>SWR-DI1</t>
        </is>
      </c>
      <c r="M18" s="14" t="inlineStr">
        <is>
          <t>BMXDDI3202K</t>
        </is>
      </c>
      <c r="N18" s="14" t="n">
        <v>17</v>
      </c>
      <c r="O18" s="14" t="inlineStr">
        <is>
          <t>Dry contact, wetted 24 V DC from the panel supply</t>
        </is>
      </c>
      <c r="P18" s="14" t="inlineStr"/>
    </row>
    <row r="19" ht="15" customHeight="1">
      <c r="A19" s="14" t="inlineStr">
        <is>
          <t>AH2-AUX-OK</t>
        </is>
      </c>
      <c r="B19" s="14" t="inlineStr">
        <is>
          <t>Control supply healthy</t>
        </is>
      </c>
      <c r="C19" s="14" t="inlineStr">
        <is>
          <t>11 kV panel AH2, PV incomer</t>
        </is>
      </c>
      <c r="D19" s="14" t="inlineStr">
        <is>
          <t>DI</t>
        </is>
      </c>
      <c r="E19" s="14" t="inlineStr">
        <is>
          <t>Normally closed</t>
        </is>
      </c>
      <c r="F19" s="14" t="inlineStr">
        <is>
          <t>2</t>
        </is>
      </c>
      <c r="G19" s="14" t="inlineStr">
        <is>
          <t>-</t>
        </is>
      </c>
      <c r="H19" s="14" t="n">
        <v>1</v>
      </c>
      <c r="I19" s="14" t="inlineStr">
        <is>
          <t>R1-DI02</t>
        </is>
      </c>
      <c r="J19" s="14" t="n">
        <v>2</v>
      </c>
      <c r="K19" s="14" t="inlineStr">
        <is>
          <t>SWR</t>
        </is>
      </c>
      <c r="L19" s="14" t="inlineStr">
        <is>
          <t>SWR-DI1</t>
        </is>
      </c>
      <c r="M19" s="14" t="inlineStr">
        <is>
          <t>BMXDDI3202K</t>
        </is>
      </c>
      <c r="N19" s="14" t="n">
        <v>18</v>
      </c>
      <c r="O19" s="14" t="inlineStr">
        <is>
          <t>Dry contact, wetted 24 V DC from the panel supply</t>
        </is>
      </c>
      <c r="P19" s="14" t="inlineStr"/>
    </row>
    <row r="20" ht="15" customHeight="1">
      <c r="A20" s="14" t="inlineStr">
        <is>
          <t>AH3-CB-OPEN</t>
        </is>
      </c>
      <c r="B20" s="14" t="inlineStr">
        <is>
          <t>Circuit breaker open</t>
        </is>
      </c>
      <c r="C20" s="14" t="inlineStr">
        <is>
          <t>11 kV panel AH3, BESS incomer</t>
        </is>
      </c>
      <c r="D20" s="14" t="inlineStr">
        <is>
          <t>DI</t>
        </is>
      </c>
      <c r="E20" s="14" t="inlineStr">
        <is>
          <t>Status</t>
        </is>
      </c>
      <c r="F20" s="14" t="inlineStr">
        <is>
          <t>Status</t>
        </is>
      </c>
      <c r="G20" s="14" t="inlineStr">
        <is>
          <t>-</t>
        </is>
      </c>
      <c r="H20" s="14" t="n">
        <v>1</v>
      </c>
      <c r="I20" s="14" t="inlineStr">
        <is>
          <t>R1-DI02</t>
        </is>
      </c>
      <c r="J20" s="14" t="n">
        <v>3</v>
      </c>
      <c r="K20" s="14" t="inlineStr">
        <is>
          <t>SWR</t>
        </is>
      </c>
      <c r="L20" s="14" t="inlineStr">
        <is>
          <t>SWR-DI1</t>
        </is>
      </c>
      <c r="M20" s="14" t="inlineStr">
        <is>
          <t>BMXDDI3202K</t>
        </is>
      </c>
      <c r="N20" s="14" t="n">
        <v>19</v>
      </c>
      <c r="O20" s="14" t="inlineStr">
        <is>
          <t>Dry contact, wetted 24 V DC from the panel supply</t>
        </is>
      </c>
      <c r="P20" s="14" t="inlineStr"/>
    </row>
    <row r="21" ht="15" customHeight="1">
      <c r="A21" s="14" t="inlineStr">
        <is>
          <t>AH3-CB-CLSD</t>
        </is>
      </c>
      <c r="B21" s="14" t="inlineStr">
        <is>
          <t>Circuit breaker closed</t>
        </is>
      </c>
      <c r="C21" s="14" t="inlineStr">
        <is>
          <t>11 kV panel AH3, BESS incomer</t>
        </is>
      </c>
      <c r="D21" s="14" t="inlineStr">
        <is>
          <t>DI</t>
        </is>
      </c>
      <c r="E21" s="14" t="inlineStr">
        <is>
          <t>Status</t>
        </is>
      </c>
      <c r="F21" s="14" t="inlineStr">
        <is>
          <t>Status</t>
        </is>
      </c>
      <c r="G21" s="14" t="inlineStr">
        <is>
          <t>-</t>
        </is>
      </c>
      <c r="H21" s="14" t="n">
        <v>1</v>
      </c>
      <c r="I21" s="14" t="inlineStr">
        <is>
          <t>R1-DI02</t>
        </is>
      </c>
      <c r="J21" s="14" t="n">
        <v>4</v>
      </c>
      <c r="K21" s="14" t="inlineStr">
        <is>
          <t>SWR</t>
        </is>
      </c>
      <c r="L21" s="14" t="inlineStr">
        <is>
          <t>SWR-DI1</t>
        </is>
      </c>
      <c r="M21" s="14" t="inlineStr">
        <is>
          <t>BMXDDI3202K</t>
        </is>
      </c>
      <c r="N21" s="14" t="n">
        <v>20</v>
      </c>
      <c r="O21" s="14" t="inlineStr">
        <is>
          <t>Dry contact, wetted 24 V DC from the panel supply</t>
        </is>
      </c>
      <c r="P21" s="14" t="inlineStr"/>
    </row>
    <row r="22" ht="15" customHeight="1">
      <c r="A22" s="14" t="inlineStr">
        <is>
          <t>AH3-CB-TRIP</t>
        </is>
      </c>
      <c r="B22" s="14" t="inlineStr">
        <is>
          <t>Circuit breaker tripped by protection</t>
        </is>
      </c>
      <c r="C22" s="14" t="inlineStr">
        <is>
          <t>11 kV panel AH3, BESS incomer</t>
        </is>
      </c>
      <c r="D22" s="14" t="inlineStr">
        <is>
          <t>DI</t>
        </is>
      </c>
      <c r="E22" s="14" t="inlineStr">
        <is>
          <t>Normally open</t>
        </is>
      </c>
      <c r="F22" s="14" t="inlineStr">
        <is>
          <t>1</t>
        </is>
      </c>
      <c r="G22" s="14" t="inlineStr">
        <is>
          <t>-</t>
        </is>
      </c>
      <c r="H22" s="14" t="n">
        <v>1</v>
      </c>
      <c r="I22" s="14" t="inlineStr">
        <is>
          <t>R1-DI02</t>
        </is>
      </c>
      <c r="J22" s="14" t="n">
        <v>5</v>
      </c>
      <c r="K22" s="14" t="inlineStr">
        <is>
          <t>SWR</t>
        </is>
      </c>
      <c r="L22" s="14" t="inlineStr">
        <is>
          <t>SWR-DI1</t>
        </is>
      </c>
      <c r="M22" s="14" t="inlineStr">
        <is>
          <t>BMXDDI3202K</t>
        </is>
      </c>
      <c r="N22" s="14" t="n">
        <v>21</v>
      </c>
      <c r="O22" s="14" t="inlineStr">
        <is>
          <t>Dry contact, wetted 24 V DC from the panel supply</t>
        </is>
      </c>
      <c r="P22" s="14" t="inlineStr"/>
    </row>
    <row r="23" ht="15" customHeight="1">
      <c r="A23" s="14" t="inlineStr">
        <is>
          <t>AH3-ES-CLSD</t>
        </is>
      </c>
      <c r="B23" s="14" t="inlineStr">
        <is>
          <t>Earth switch closed</t>
        </is>
      </c>
      <c r="C23" s="14" t="inlineStr">
        <is>
          <t>11 kV panel AH3, BESS incomer</t>
        </is>
      </c>
      <c r="D23" s="14" t="inlineStr">
        <is>
          <t>DI</t>
        </is>
      </c>
      <c r="E23" s="14" t="inlineStr">
        <is>
          <t>Status</t>
        </is>
      </c>
      <c r="F23" s="14" t="inlineStr">
        <is>
          <t>Status</t>
        </is>
      </c>
      <c r="G23" s="14" t="inlineStr">
        <is>
          <t>-</t>
        </is>
      </c>
      <c r="H23" s="14" t="n">
        <v>1</v>
      </c>
      <c r="I23" s="14" t="inlineStr">
        <is>
          <t>R1-DI02</t>
        </is>
      </c>
      <c r="J23" s="14" t="n">
        <v>6</v>
      </c>
      <c r="K23" s="14" t="inlineStr">
        <is>
          <t>SWR</t>
        </is>
      </c>
      <c r="L23" s="14" t="inlineStr">
        <is>
          <t>SWR-DI1</t>
        </is>
      </c>
      <c r="M23" s="14" t="inlineStr">
        <is>
          <t>BMXDDI3202K</t>
        </is>
      </c>
      <c r="N23" s="14" t="n">
        <v>22</v>
      </c>
      <c r="O23" s="14" t="inlineStr">
        <is>
          <t>Dry contact, wetted 24 V DC from the panel supply</t>
        </is>
      </c>
      <c r="P23" s="14" t="inlineStr"/>
    </row>
    <row r="24" ht="15" customHeight="1">
      <c r="A24" s="14" t="inlineStr">
        <is>
          <t>AH3-LR-REM</t>
        </is>
      </c>
      <c r="B24" s="14" t="inlineStr">
        <is>
          <t>Local/remote switch in remote</t>
        </is>
      </c>
      <c r="C24" s="14" t="inlineStr">
        <is>
          <t>11 kV panel AH3, BESS incomer</t>
        </is>
      </c>
      <c r="D24" s="14" t="inlineStr">
        <is>
          <t>DI</t>
        </is>
      </c>
      <c r="E24" s="14" t="inlineStr">
        <is>
          <t>Status</t>
        </is>
      </c>
      <c r="F24" s="14" t="inlineStr">
        <is>
          <t>Status</t>
        </is>
      </c>
      <c r="G24" s="14" t="inlineStr">
        <is>
          <t>-</t>
        </is>
      </c>
      <c r="H24" s="14" t="n">
        <v>1</v>
      </c>
      <c r="I24" s="14" t="inlineStr">
        <is>
          <t>R1-DI02</t>
        </is>
      </c>
      <c r="J24" s="14" t="n">
        <v>7</v>
      </c>
      <c r="K24" s="14" t="inlineStr">
        <is>
          <t>SWR</t>
        </is>
      </c>
      <c r="L24" s="14" t="inlineStr">
        <is>
          <t>SWR-DI1</t>
        </is>
      </c>
      <c r="M24" s="14" t="inlineStr">
        <is>
          <t>BMXDDI3202K</t>
        </is>
      </c>
      <c r="N24" s="14" t="n">
        <v>23</v>
      </c>
      <c r="O24" s="14" t="inlineStr">
        <is>
          <t>Dry contact, wetted 24 V DC from the panel supply</t>
        </is>
      </c>
      <c r="P24" s="14" t="inlineStr"/>
    </row>
    <row r="25" ht="15" customHeight="1">
      <c r="A25" s="14" t="inlineStr">
        <is>
          <t>AH3-SPR-CHG</t>
        </is>
      </c>
      <c r="B25" s="14" t="inlineStr">
        <is>
          <t>Closing spring charged</t>
        </is>
      </c>
      <c r="C25" s="14" t="inlineStr">
        <is>
          <t>11 kV panel AH3, BESS incomer</t>
        </is>
      </c>
      <c r="D25" s="14" t="inlineStr">
        <is>
          <t>DI</t>
        </is>
      </c>
      <c r="E25" s="14" t="inlineStr">
        <is>
          <t>Normally closed</t>
        </is>
      </c>
      <c r="F25" s="14" t="inlineStr">
        <is>
          <t>3</t>
        </is>
      </c>
      <c r="G25" s="14" t="inlineStr">
        <is>
          <t>-</t>
        </is>
      </c>
      <c r="H25" s="14" t="n">
        <v>1</v>
      </c>
      <c r="I25" s="14" t="inlineStr">
        <is>
          <t>R1-DI02</t>
        </is>
      </c>
      <c r="J25" s="14" t="n">
        <v>8</v>
      </c>
      <c r="K25" s="14" t="inlineStr">
        <is>
          <t>SWR</t>
        </is>
      </c>
      <c r="L25" s="14" t="inlineStr">
        <is>
          <t>SWR-DI1</t>
        </is>
      </c>
      <c r="M25" s="14" t="inlineStr">
        <is>
          <t>BMXDDI3202K</t>
        </is>
      </c>
      <c r="N25" s="14" t="n">
        <v>24</v>
      </c>
      <c r="O25" s="14" t="inlineStr">
        <is>
          <t>Dry contact, wetted 24 V DC from the panel supply</t>
        </is>
      </c>
      <c r="P25" s="14" t="inlineStr"/>
    </row>
    <row r="26" ht="15" customHeight="1">
      <c r="A26" s="14" t="inlineStr">
        <is>
          <t>AH3-GAS-LOW</t>
        </is>
      </c>
      <c r="B26" s="14" t="inlineStr">
        <is>
          <t>Gas pressure low</t>
        </is>
      </c>
      <c r="C26" s="14" t="inlineStr">
        <is>
          <t>11 kV panel AH3, BESS incomer</t>
        </is>
      </c>
      <c r="D26" s="14" t="inlineStr">
        <is>
          <t>DI</t>
        </is>
      </c>
      <c r="E26" s="14" t="inlineStr">
        <is>
          <t>Normally open</t>
        </is>
      </c>
      <c r="F26" s="14" t="inlineStr">
        <is>
          <t>2</t>
        </is>
      </c>
      <c r="G26" s="14" t="inlineStr">
        <is>
          <t>-</t>
        </is>
      </c>
      <c r="H26" s="14" t="n">
        <v>1</v>
      </c>
      <c r="I26" s="14" t="inlineStr">
        <is>
          <t>R1-DI02</t>
        </is>
      </c>
      <c r="J26" s="14" t="n">
        <v>9</v>
      </c>
      <c r="K26" s="14" t="inlineStr">
        <is>
          <t>SWR</t>
        </is>
      </c>
      <c r="L26" s="14" t="inlineStr">
        <is>
          <t>SWR-DI2</t>
        </is>
      </c>
      <c r="M26" s="14" t="inlineStr">
        <is>
          <t>BMXDDI3202K</t>
        </is>
      </c>
      <c r="N26" s="14" t="n">
        <v>1</v>
      </c>
      <c r="O26" s="14" t="inlineStr">
        <is>
          <t>Dry contact, wetted 24 V DC from the panel supply</t>
        </is>
      </c>
      <c r="P26" s="14" t="inlineStr"/>
    </row>
    <row r="27" ht="15" customHeight="1">
      <c r="A27" s="14" t="inlineStr">
        <is>
          <t>AH3-RLY-OK</t>
        </is>
      </c>
      <c r="B27" s="14" t="inlineStr">
        <is>
          <t>Protection relay healthy</t>
        </is>
      </c>
      <c r="C27" s="14" t="inlineStr">
        <is>
          <t>11 kV panel AH3, BESS incomer</t>
        </is>
      </c>
      <c r="D27" s="14" t="inlineStr">
        <is>
          <t>DI</t>
        </is>
      </c>
      <c r="E27" s="14" t="inlineStr">
        <is>
          <t>Normally closed</t>
        </is>
      </c>
      <c r="F27" s="14" t="inlineStr">
        <is>
          <t>2</t>
        </is>
      </c>
      <c r="G27" s="14" t="inlineStr">
        <is>
          <t>-</t>
        </is>
      </c>
      <c r="H27" s="14" t="n">
        <v>1</v>
      </c>
      <c r="I27" s="14" t="inlineStr">
        <is>
          <t>R1-DI02</t>
        </is>
      </c>
      <c r="J27" s="14" t="n">
        <v>10</v>
      </c>
      <c r="K27" s="14" t="inlineStr">
        <is>
          <t>SWR</t>
        </is>
      </c>
      <c r="L27" s="14" t="inlineStr">
        <is>
          <t>SWR-DI2</t>
        </is>
      </c>
      <c r="M27" s="14" t="inlineStr">
        <is>
          <t>BMXDDI3202K</t>
        </is>
      </c>
      <c r="N27" s="14" t="n">
        <v>2</v>
      </c>
      <c r="O27" s="14" t="inlineStr">
        <is>
          <t>Dry contact, wetted 24 V DC from the panel supply</t>
        </is>
      </c>
      <c r="P27" s="14" t="inlineStr"/>
    </row>
    <row r="28" ht="15" customHeight="1">
      <c r="A28" s="14" t="inlineStr">
        <is>
          <t>AH3-AUX-OK</t>
        </is>
      </c>
      <c r="B28" s="14" t="inlineStr">
        <is>
          <t>Control supply healthy</t>
        </is>
      </c>
      <c r="C28" s="14" t="inlineStr">
        <is>
          <t>11 kV panel AH3, BESS incomer</t>
        </is>
      </c>
      <c r="D28" s="14" t="inlineStr">
        <is>
          <t>DI</t>
        </is>
      </c>
      <c r="E28" s="14" t="inlineStr">
        <is>
          <t>Normally closed</t>
        </is>
      </c>
      <c r="F28" s="14" t="inlineStr">
        <is>
          <t>2</t>
        </is>
      </c>
      <c r="G28" s="14" t="inlineStr">
        <is>
          <t>-</t>
        </is>
      </c>
      <c r="H28" s="14" t="n">
        <v>1</v>
      </c>
      <c r="I28" s="14" t="inlineStr">
        <is>
          <t>R1-DI02</t>
        </is>
      </c>
      <c r="J28" s="14" t="n">
        <v>11</v>
      </c>
      <c r="K28" s="14" t="inlineStr">
        <is>
          <t>SWR</t>
        </is>
      </c>
      <c r="L28" s="14" t="inlineStr">
        <is>
          <t>SWR-DI2</t>
        </is>
      </c>
      <c r="M28" s="14" t="inlineStr">
        <is>
          <t>BMXDDI3202K</t>
        </is>
      </c>
      <c r="N28" s="14" t="n">
        <v>3</v>
      </c>
      <c r="O28" s="14" t="inlineStr">
        <is>
          <t>Dry contact, wetted 24 V DC from the panel supply</t>
        </is>
      </c>
      <c r="P28" s="14" t="inlineStr"/>
    </row>
    <row r="29" ht="15" customHeight="1">
      <c r="A29" s="14" t="inlineStr">
        <is>
          <t>AH4-CB-OPEN</t>
        </is>
      </c>
      <c r="B29" s="14" t="inlineStr">
        <is>
          <t>Circuit breaker open</t>
        </is>
      </c>
      <c r="C29" s="14" t="inlineStr">
        <is>
          <t>11 kV panel AH4, President feeder</t>
        </is>
      </c>
      <c r="D29" s="14" t="inlineStr">
        <is>
          <t>DI</t>
        </is>
      </c>
      <c r="E29" s="14" t="inlineStr">
        <is>
          <t>Status</t>
        </is>
      </c>
      <c r="F29" s="14" t="inlineStr">
        <is>
          <t>Status</t>
        </is>
      </c>
      <c r="G29" s="14" t="inlineStr">
        <is>
          <t>-</t>
        </is>
      </c>
      <c r="H29" s="14" t="n">
        <v>1</v>
      </c>
      <c r="I29" s="14" t="inlineStr">
        <is>
          <t>R1-DI02</t>
        </is>
      </c>
      <c r="J29" s="14" t="n">
        <v>12</v>
      </c>
      <c r="K29" s="14" t="inlineStr">
        <is>
          <t>SWR</t>
        </is>
      </c>
      <c r="L29" s="14" t="inlineStr">
        <is>
          <t>SWR-DI2</t>
        </is>
      </c>
      <c r="M29" s="14" t="inlineStr">
        <is>
          <t>BMXDDI3202K</t>
        </is>
      </c>
      <c r="N29" s="14" t="n">
        <v>4</v>
      </c>
      <c r="O29" s="14" t="inlineStr">
        <is>
          <t>Dry contact, wetted 24 V DC from the panel supply</t>
        </is>
      </c>
      <c r="P29" s="14" t="inlineStr"/>
    </row>
    <row r="30" ht="15" customHeight="1">
      <c r="A30" s="14" t="inlineStr">
        <is>
          <t>AH4-CB-CLSD</t>
        </is>
      </c>
      <c r="B30" s="14" t="inlineStr">
        <is>
          <t>Circuit breaker closed</t>
        </is>
      </c>
      <c r="C30" s="14" t="inlineStr">
        <is>
          <t>11 kV panel AH4, President feeder</t>
        </is>
      </c>
      <c r="D30" s="14" t="inlineStr">
        <is>
          <t>DI</t>
        </is>
      </c>
      <c r="E30" s="14" t="inlineStr">
        <is>
          <t>Status</t>
        </is>
      </c>
      <c r="F30" s="14" t="inlineStr">
        <is>
          <t>Status</t>
        </is>
      </c>
      <c r="G30" s="14" t="inlineStr">
        <is>
          <t>-</t>
        </is>
      </c>
      <c r="H30" s="14" t="n">
        <v>1</v>
      </c>
      <c r="I30" s="14" t="inlineStr">
        <is>
          <t>R1-DI02</t>
        </is>
      </c>
      <c r="J30" s="14" t="n">
        <v>13</v>
      </c>
      <c r="K30" s="14" t="inlineStr">
        <is>
          <t>SWR</t>
        </is>
      </c>
      <c r="L30" s="14" t="inlineStr">
        <is>
          <t>SWR-DI2</t>
        </is>
      </c>
      <c r="M30" s="14" t="inlineStr">
        <is>
          <t>BMXDDI3202K</t>
        </is>
      </c>
      <c r="N30" s="14" t="n">
        <v>5</v>
      </c>
      <c r="O30" s="14" t="inlineStr">
        <is>
          <t>Dry contact, wetted 24 V DC from the panel supply</t>
        </is>
      </c>
      <c r="P30" s="14" t="inlineStr"/>
    </row>
    <row r="31" ht="15" customHeight="1">
      <c r="A31" s="14" t="inlineStr">
        <is>
          <t>AH4-CB-TRIP</t>
        </is>
      </c>
      <c r="B31" s="14" t="inlineStr">
        <is>
          <t>Circuit breaker tripped by protection</t>
        </is>
      </c>
      <c r="C31" s="14" t="inlineStr">
        <is>
          <t>11 kV panel AH4, President feeder</t>
        </is>
      </c>
      <c r="D31" s="14" t="inlineStr">
        <is>
          <t>DI</t>
        </is>
      </c>
      <c r="E31" s="14" t="inlineStr">
        <is>
          <t>Normally open</t>
        </is>
      </c>
      <c r="F31" s="14" t="inlineStr">
        <is>
          <t>1</t>
        </is>
      </c>
      <c r="G31" s="14" t="inlineStr">
        <is>
          <t>-</t>
        </is>
      </c>
      <c r="H31" s="14" t="n">
        <v>1</v>
      </c>
      <c r="I31" s="14" t="inlineStr">
        <is>
          <t>R1-DI02</t>
        </is>
      </c>
      <c r="J31" s="14" t="n">
        <v>14</v>
      </c>
      <c r="K31" s="14" t="inlineStr">
        <is>
          <t>SWR</t>
        </is>
      </c>
      <c r="L31" s="14" t="inlineStr">
        <is>
          <t>SWR-DI2</t>
        </is>
      </c>
      <c r="M31" s="14" t="inlineStr">
        <is>
          <t>BMXDDI3202K</t>
        </is>
      </c>
      <c r="N31" s="14" t="n">
        <v>6</v>
      </c>
      <c r="O31" s="14" t="inlineStr">
        <is>
          <t>Dry contact, wetted 24 V DC from the panel supply</t>
        </is>
      </c>
      <c r="P31" s="14" t="inlineStr"/>
    </row>
    <row r="32" ht="15" customHeight="1">
      <c r="A32" s="14" t="inlineStr">
        <is>
          <t>AH4-ES-CLSD</t>
        </is>
      </c>
      <c r="B32" s="14" t="inlineStr">
        <is>
          <t>Earth switch closed</t>
        </is>
      </c>
      <c r="C32" s="14" t="inlineStr">
        <is>
          <t>11 kV panel AH4, President feeder</t>
        </is>
      </c>
      <c r="D32" s="14" t="inlineStr">
        <is>
          <t>DI</t>
        </is>
      </c>
      <c r="E32" s="14" t="inlineStr">
        <is>
          <t>Status</t>
        </is>
      </c>
      <c r="F32" s="14" t="inlineStr">
        <is>
          <t>Status</t>
        </is>
      </c>
      <c r="G32" s="14" t="inlineStr">
        <is>
          <t>-</t>
        </is>
      </c>
      <c r="H32" s="14" t="n">
        <v>1</v>
      </c>
      <c r="I32" s="14" t="inlineStr">
        <is>
          <t>R1-DI02</t>
        </is>
      </c>
      <c r="J32" s="14" t="n">
        <v>15</v>
      </c>
      <c r="K32" s="14" t="inlineStr">
        <is>
          <t>SWR</t>
        </is>
      </c>
      <c r="L32" s="14" t="inlineStr">
        <is>
          <t>SWR-DI2</t>
        </is>
      </c>
      <c r="M32" s="14" t="inlineStr">
        <is>
          <t>BMXDDI3202K</t>
        </is>
      </c>
      <c r="N32" s="14" t="n">
        <v>7</v>
      </c>
      <c r="O32" s="14" t="inlineStr">
        <is>
          <t>Dry contact, wetted 24 V DC from the panel supply</t>
        </is>
      </c>
      <c r="P32" s="14" t="inlineStr"/>
    </row>
    <row r="33" ht="15" customHeight="1">
      <c r="A33" s="14" t="inlineStr">
        <is>
          <t>AH4-LR-REM</t>
        </is>
      </c>
      <c r="B33" s="14" t="inlineStr">
        <is>
          <t>Local/remote switch in remote</t>
        </is>
      </c>
      <c r="C33" s="14" t="inlineStr">
        <is>
          <t>11 kV panel AH4, President feeder</t>
        </is>
      </c>
      <c r="D33" s="14" t="inlineStr">
        <is>
          <t>DI</t>
        </is>
      </c>
      <c r="E33" s="14" t="inlineStr">
        <is>
          <t>Status</t>
        </is>
      </c>
      <c r="F33" s="14" t="inlineStr">
        <is>
          <t>Status</t>
        </is>
      </c>
      <c r="G33" s="14" t="inlineStr">
        <is>
          <t>-</t>
        </is>
      </c>
      <c r="H33" s="14" t="n">
        <v>1</v>
      </c>
      <c r="I33" s="14" t="inlineStr">
        <is>
          <t>R1-DI02</t>
        </is>
      </c>
      <c r="J33" s="14" t="n">
        <v>16</v>
      </c>
      <c r="K33" s="14" t="inlineStr">
        <is>
          <t>SWR</t>
        </is>
      </c>
      <c r="L33" s="14" t="inlineStr">
        <is>
          <t>SWR-DI2</t>
        </is>
      </c>
      <c r="M33" s="14" t="inlineStr">
        <is>
          <t>BMXDDI3202K</t>
        </is>
      </c>
      <c r="N33" s="14" t="n">
        <v>8</v>
      </c>
      <c r="O33" s="14" t="inlineStr">
        <is>
          <t>Dry contact, wetted 24 V DC from the panel supply</t>
        </is>
      </c>
      <c r="P33" s="14" t="inlineStr"/>
    </row>
    <row r="34" ht="15" customHeight="1">
      <c r="A34" s="14" t="inlineStr">
        <is>
          <t>AH4-SPR-CHG</t>
        </is>
      </c>
      <c r="B34" s="14" t="inlineStr">
        <is>
          <t>Closing spring charged</t>
        </is>
      </c>
      <c r="C34" s="14" t="inlineStr">
        <is>
          <t>11 kV panel AH4, President feeder</t>
        </is>
      </c>
      <c r="D34" s="14" t="inlineStr">
        <is>
          <t>DI</t>
        </is>
      </c>
      <c r="E34" s="14" t="inlineStr">
        <is>
          <t>Normally closed</t>
        </is>
      </c>
      <c r="F34" s="14" t="inlineStr">
        <is>
          <t>3</t>
        </is>
      </c>
      <c r="G34" s="14" t="inlineStr">
        <is>
          <t>-</t>
        </is>
      </c>
      <c r="H34" s="14" t="n">
        <v>1</v>
      </c>
      <c r="I34" s="14" t="inlineStr">
        <is>
          <t>R1-DI03</t>
        </is>
      </c>
      <c r="J34" s="14" t="n">
        <v>1</v>
      </c>
      <c r="K34" s="14" t="inlineStr">
        <is>
          <t>SWR</t>
        </is>
      </c>
      <c r="L34" s="14" t="inlineStr">
        <is>
          <t>SWR-DI2</t>
        </is>
      </c>
      <c r="M34" s="14" t="inlineStr">
        <is>
          <t>BMXDDI3202K</t>
        </is>
      </c>
      <c r="N34" s="14" t="n">
        <v>9</v>
      </c>
      <c r="O34" s="14" t="inlineStr">
        <is>
          <t>Dry contact, wetted 24 V DC from the panel supply</t>
        </is>
      </c>
      <c r="P34" s="14" t="inlineStr"/>
    </row>
    <row r="35" ht="15" customHeight="1">
      <c r="A35" s="14" t="inlineStr">
        <is>
          <t>AH4-GAS-LOW</t>
        </is>
      </c>
      <c r="B35" s="14" t="inlineStr">
        <is>
          <t>Gas pressure low</t>
        </is>
      </c>
      <c r="C35" s="14" t="inlineStr">
        <is>
          <t>11 kV panel AH4, President feeder</t>
        </is>
      </c>
      <c r="D35" s="14" t="inlineStr">
        <is>
          <t>DI</t>
        </is>
      </c>
      <c r="E35" s="14" t="inlineStr">
        <is>
          <t>Normally open</t>
        </is>
      </c>
      <c r="F35" s="14" t="inlineStr">
        <is>
          <t>2</t>
        </is>
      </c>
      <c r="G35" s="14" t="inlineStr">
        <is>
          <t>-</t>
        </is>
      </c>
      <c r="H35" s="14" t="n">
        <v>1</v>
      </c>
      <c r="I35" s="14" t="inlineStr">
        <is>
          <t>R1-DI03</t>
        </is>
      </c>
      <c r="J35" s="14" t="n">
        <v>2</v>
      </c>
      <c r="K35" s="14" t="inlineStr">
        <is>
          <t>SWR</t>
        </is>
      </c>
      <c r="L35" s="14" t="inlineStr">
        <is>
          <t>SWR-DI2</t>
        </is>
      </c>
      <c r="M35" s="14" t="inlineStr">
        <is>
          <t>BMXDDI3202K</t>
        </is>
      </c>
      <c r="N35" s="14" t="n">
        <v>10</v>
      </c>
      <c r="O35" s="14" t="inlineStr">
        <is>
          <t>Dry contact, wetted 24 V DC from the panel supply</t>
        </is>
      </c>
      <c r="P35" s="14" t="inlineStr"/>
    </row>
    <row r="36" ht="15" customHeight="1">
      <c r="A36" s="14" t="inlineStr">
        <is>
          <t>AH4-RLY-OK</t>
        </is>
      </c>
      <c r="B36" s="14" t="inlineStr">
        <is>
          <t>Protection relay healthy</t>
        </is>
      </c>
      <c r="C36" s="14" t="inlineStr">
        <is>
          <t>11 kV panel AH4, President feeder</t>
        </is>
      </c>
      <c r="D36" s="14" t="inlineStr">
        <is>
          <t>DI</t>
        </is>
      </c>
      <c r="E36" s="14" t="inlineStr">
        <is>
          <t>Normally closed</t>
        </is>
      </c>
      <c r="F36" s="14" t="inlineStr">
        <is>
          <t>2</t>
        </is>
      </c>
      <c r="G36" s="14" t="inlineStr">
        <is>
          <t>-</t>
        </is>
      </c>
      <c r="H36" s="14" t="n">
        <v>1</v>
      </c>
      <c r="I36" s="14" t="inlineStr">
        <is>
          <t>R1-DI03</t>
        </is>
      </c>
      <c r="J36" s="14" t="n">
        <v>3</v>
      </c>
      <c r="K36" s="14" t="inlineStr">
        <is>
          <t>SWR</t>
        </is>
      </c>
      <c r="L36" s="14" t="inlineStr">
        <is>
          <t>SWR-DI2</t>
        </is>
      </c>
      <c r="M36" s="14" t="inlineStr">
        <is>
          <t>BMXDDI3202K</t>
        </is>
      </c>
      <c r="N36" s="14" t="n">
        <v>11</v>
      </c>
      <c r="O36" s="14" t="inlineStr">
        <is>
          <t>Dry contact, wetted 24 V DC from the panel supply</t>
        </is>
      </c>
      <c r="P36" s="14" t="inlineStr"/>
    </row>
    <row r="37" ht="15" customHeight="1">
      <c r="A37" s="14" t="inlineStr">
        <is>
          <t>AH4-AUX-OK</t>
        </is>
      </c>
      <c r="B37" s="14" t="inlineStr">
        <is>
          <t>Control supply healthy</t>
        </is>
      </c>
      <c r="C37" s="14" t="inlineStr">
        <is>
          <t>11 kV panel AH4, President feeder</t>
        </is>
      </c>
      <c r="D37" s="14" t="inlineStr">
        <is>
          <t>DI</t>
        </is>
      </c>
      <c r="E37" s="14" t="inlineStr">
        <is>
          <t>Normally closed</t>
        </is>
      </c>
      <c r="F37" s="14" t="inlineStr">
        <is>
          <t>2</t>
        </is>
      </c>
      <c r="G37" s="14" t="inlineStr">
        <is>
          <t>-</t>
        </is>
      </c>
      <c r="H37" s="14" t="n">
        <v>1</v>
      </c>
      <c r="I37" s="14" t="inlineStr">
        <is>
          <t>R1-DI03</t>
        </is>
      </c>
      <c r="J37" s="14" t="n">
        <v>4</v>
      </c>
      <c r="K37" s="14" t="inlineStr">
        <is>
          <t>SWR</t>
        </is>
      </c>
      <c r="L37" s="14" t="inlineStr">
        <is>
          <t>SWR-DI2</t>
        </is>
      </c>
      <c r="M37" s="14" t="inlineStr">
        <is>
          <t>BMXDDI3202K</t>
        </is>
      </c>
      <c r="N37" s="14" t="n">
        <v>12</v>
      </c>
      <c r="O37" s="14" t="inlineStr">
        <is>
          <t>Dry contact, wetted 24 V DC from the panel supply</t>
        </is>
      </c>
      <c r="P37" s="14" t="inlineStr"/>
    </row>
    <row r="38" ht="15" customHeight="1">
      <c r="A38" s="14" t="inlineStr">
        <is>
          <t>AH5-CB-OPEN</t>
        </is>
      </c>
      <c r="B38" s="14" t="inlineStr">
        <is>
          <t>Circuit breaker open</t>
        </is>
      </c>
      <c r="C38" s="14" t="inlineStr">
        <is>
          <t>11 kV panel AH5, Auxiliary transformer feeder</t>
        </is>
      </c>
      <c r="D38" s="14" t="inlineStr">
        <is>
          <t>DI</t>
        </is>
      </c>
      <c r="E38" s="14" t="inlineStr">
        <is>
          <t>Status</t>
        </is>
      </c>
      <c r="F38" s="14" t="inlineStr">
        <is>
          <t>Status</t>
        </is>
      </c>
      <c r="G38" s="14" t="inlineStr">
        <is>
          <t>-</t>
        </is>
      </c>
      <c r="H38" s="14" t="n">
        <v>1</v>
      </c>
      <c r="I38" s="14" t="inlineStr">
        <is>
          <t>R1-DI03</t>
        </is>
      </c>
      <c r="J38" s="14" t="n">
        <v>5</v>
      </c>
      <c r="K38" s="14" t="inlineStr">
        <is>
          <t>SWR</t>
        </is>
      </c>
      <c r="L38" s="14" t="inlineStr">
        <is>
          <t>SWR-DI2</t>
        </is>
      </c>
      <c r="M38" s="14" t="inlineStr">
        <is>
          <t>BMXDDI3202K</t>
        </is>
      </c>
      <c r="N38" s="14" t="n">
        <v>13</v>
      </c>
      <c r="O38" s="14" t="inlineStr">
        <is>
          <t>Dry contact, wetted 24 V DC from the panel supply</t>
        </is>
      </c>
      <c r="P38" s="14" t="inlineStr"/>
    </row>
    <row r="39" ht="15" customHeight="1">
      <c r="A39" s="14" t="inlineStr">
        <is>
          <t>AH5-CB-CLSD</t>
        </is>
      </c>
      <c r="B39" s="14" t="inlineStr">
        <is>
          <t>Circuit breaker closed</t>
        </is>
      </c>
      <c r="C39" s="14" t="inlineStr">
        <is>
          <t>11 kV panel AH5, Auxiliary transformer feeder</t>
        </is>
      </c>
      <c r="D39" s="14" t="inlineStr">
        <is>
          <t>DI</t>
        </is>
      </c>
      <c r="E39" s="14" t="inlineStr">
        <is>
          <t>Status</t>
        </is>
      </c>
      <c r="F39" s="14" t="inlineStr">
        <is>
          <t>Status</t>
        </is>
      </c>
      <c r="G39" s="14" t="inlineStr">
        <is>
          <t>-</t>
        </is>
      </c>
      <c r="H39" s="14" t="n">
        <v>1</v>
      </c>
      <c r="I39" s="14" t="inlineStr">
        <is>
          <t>R1-DI03</t>
        </is>
      </c>
      <c r="J39" s="14" t="n">
        <v>6</v>
      </c>
      <c r="K39" s="14" t="inlineStr">
        <is>
          <t>SWR</t>
        </is>
      </c>
      <c r="L39" s="14" t="inlineStr">
        <is>
          <t>SWR-DI2</t>
        </is>
      </c>
      <c r="M39" s="14" t="inlineStr">
        <is>
          <t>BMXDDI3202K</t>
        </is>
      </c>
      <c r="N39" s="14" t="n">
        <v>14</v>
      </c>
      <c r="O39" s="14" t="inlineStr">
        <is>
          <t>Dry contact, wetted 24 V DC from the panel supply</t>
        </is>
      </c>
      <c r="P39" s="14" t="inlineStr"/>
    </row>
    <row r="40" ht="15" customHeight="1">
      <c r="A40" s="14" t="inlineStr">
        <is>
          <t>AH5-CB-TRIP</t>
        </is>
      </c>
      <c r="B40" s="14" t="inlineStr">
        <is>
          <t>Circuit breaker tripped by protection</t>
        </is>
      </c>
      <c r="C40" s="14" t="inlineStr">
        <is>
          <t>11 kV panel AH5, Auxiliary transformer feeder</t>
        </is>
      </c>
      <c r="D40" s="14" t="inlineStr">
        <is>
          <t>DI</t>
        </is>
      </c>
      <c r="E40" s="14" t="inlineStr">
        <is>
          <t>Normally open</t>
        </is>
      </c>
      <c r="F40" s="14" t="inlineStr">
        <is>
          <t>1</t>
        </is>
      </c>
      <c r="G40" s="14" t="inlineStr">
        <is>
          <t>-</t>
        </is>
      </c>
      <c r="H40" s="14" t="n">
        <v>1</v>
      </c>
      <c r="I40" s="14" t="inlineStr">
        <is>
          <t>R1-DI03</t>
        </is>
      </c>
      <c r="J40" s="14" t="n">
        <v>7</v>
      </c>
      <c r="K40" s="14" t="inlineStr">
        <is>
          <t>SWR</t>
        </is>
      </c>
      <c r="L40" s="14" t="inlineStr">
        <is>
          <t>SWR-DI2</t>
        </is>
      </c>
      <c r="M40" s="14" t="inlineStr">
        <is>
          <t>BMXDDI3202K</t>
        </is>
      </c>
      <c r="N40" s="14" t="n">
        <v>15</v>
      </c>
      <c r="O40" s="14" t="inlineStr">
        <is>
          <t>Dry contact, wetted 24 V DC from the panel supply</t>
        </is>
      </c>
      <c r="P40" s="14" t="inlineStr"/>
    </row>
    <row r="41" ht="15" customHeight="1">
      <c r="A41" s="14" t="inlineStr">
        <is>
          <t>AH5-ES-CLSD</t>
        </is>
      </c>
      <c r="B41" s="14" t="inlineStr">
        <is>
          <t>Earth switch closed</t>
        </is>
      </c>
      <c r="C41" s="14" t="inlineStr">
        <is>
          <t>11 kV panel AH5, Auxiliary transformer feeder</t>
        </is>
      </c>
      <c r="D41" s="14" t="inlineStr">
        <is>
          <t>DI</t>
        </is>
      </c>
      <c r="E41" s="14" t="inlineStr">
        <is>
          <t>Status</t>
        </is>
      </c>
      <c r="F41" s="14" t="inlineStr">
        <is>
          <t>Status</t>
        </is>
      </c>
      <c r="G41" s="14" t="inlineStr">
        <is>
          <t>-</t>
        </is>
      </c>
      <c r="H41" s="14" t="n">
        <v>1</v>
      </c>
      <c r="I41" s="14" t="inlineStr">
        <is>
          <t>R1-DI03</t>
        </is>
      </c>
      <c r="J41" s="14" t="n">
        <v>8</v>
      </c>
      <c r="K41" s="14" t="inlineStr">
        <is>
          <t>SWR</t>
        </is>
      </c>
      <c r="L41" s="14" t="inlineStr">
        <is>
          <t>SWR-DI2</t>
        </is>
      </c>
      <c r="M41" s="14" t="inlineStr">
        <is>
          <t>BMXDDI3202K</t>
        </is>
      </c>
      <c r="N41" s="14" t="n">
        <v>16</v>
      </c>
      <c r="O41" s="14" t="inlineStr">
        <is>
          <t>Dry contact, wetted 24 V DC from the panel supply</t>
        </is>
      </c>
      <c r="P41" s="14" t="inlineStr"/>
    </row>
    <row r="42" ht="15" customHeight="1">
      <c r="A42" s="14" t="inlineStr">
        <is>
          <t>AH5-LR-REM</t>
        </is>
      </c>
      <c r="B42" s="14" t="inlineStr">
        <is>
          <t>Local/remote switch in remote</t>
        </is>
      </c>
      <c r="C42" s="14" t="inlineStr">
        <is>
          <t>11 kV panel AH5, Auxiliary transformer feeder</t>
        </is>
      </c>
      <c r="D42" s="14" t="inlineStr">
        <is>
          <t>DI</t>
        </is>
      </c>
      <c r="E42" s="14" t="inlineStr">
        <is>
          <t>Status</t>
        </is>
      </c>
      <c r="F42" s="14" t="inlineStr">
        <is>
          <t>Status</t>
        </is>
      </c>
      <c r="G42" s="14" t="inlineStr">
        <is>
          <t>-</t>
        </is>
      </c>
      <c r="H42" s="14" t="n">
        <v>1</v>
      </c>
      <c r="I42" s="14" t="inlineStr">
        <is>
          <t>R1-DI03</t>
        </is>
      </c>
      <c r="J42" s="14" t="n">
        <v>9</v>
      </c>
      <c r="K42" s="14" t="inlineStr">
        <is>
          <t>SWR</t>
        </is>
      </c>
      <c r="L42" s="14" t="inlineStr">
        <is>
          <t>SWR-DI2</t>
        </is>
      </c>
      <c r="M42" s="14" t="inlineStr">
        <is>
          <t>BMXDDI3202K</t>
        </is>
      </c>
      <c r="N42" s="14" t="n">
        <v>17</v>
      </c>
      <c r="O42" s="14" t="inlineStr">
        <is>
          <t>Dry contact, wetted 24 V DC from the panel supply</t>
        </is>
      </c>
      <c r="P42" s="14" t="inlineStr"/>
    </row>
    <row r="43" ht="15" customHeight="1">
      <c r="A43" s="14" t="inlineStr">
        <is>
          <t>AH5-SPR-CHG</t>
        </is>
      </c>
      <c r="B43" s="14" t="inlineStr">
        <is>
          <t>Closing spring charged</t>
        </is>
      </c>
      <c r="C43" s="14" t="inlineStr">
        <is>
          <t>11 kV panel AH5, Auxiliary transformer feeder</t>
        </is>
      </c>
      <c r="D43" s="14" t="inlineStr">
        <is>
          <t>DI</t>
        </is>
      </c>
      <c r="E43" s="14" t="inlineStr">
        <is>
          <t>Normally closed</t>
        </is>
      </c>
      <c r="F43" s="14" t="inlineStr">
        <is>
          <t>3</t>
        </is>
      </c>
      <c r="G43" s="14" t="inlineStr">
        <is>
          <t>-</t>
        </is>
      </c>
      <c r="H43" s="14" t="n">
        <v>1</v>
      </c>
      <c r="I43" s="14" t="inlineStr">
        <is>
          <t>R1-DI03</t>
        </is>
      </c>
      <c r="J43" s="14" t="n">
        <v>10</v>
      </c>
      <c r="K43" s="14" t="inlineStr">
        <is>
          <t>SWR</t>
        </is>
      </c>
      <c r="L43" s="14" t="inlineStr">
        <is>
          <t>SWR-DI2</t>
        </is>
      </c>
      <c r="M43" s="14" t="inlineStr">
        <is>
          <t>BMXDDI3202K</t>
        </is>
      </c>
      <c r="N43" s="14" t="n">
        <v>18</v>
      </c>
      <c r="O43" s="14" t="inlineStr">
        <is>
          <t>Dry contact, wetted 24 V DC from the panel supply</t>
        </is>
      </c>
      <c r="P43" s="14" t="inlineStr"/>
    </row>
    <row r="44" ht="15" customHeight="1">
      <c r="A44" s="14" t="inlineStr">
        <is>
          <t>AH5-GAS-LOW</t>
        </is>
      </c>
      <c r="B44" s="14" t="inlineStr">
        <is>
          <t>Gas pressure low</t>
        </is>
      </c>
      <c r="C44" s="14" t="inlineStr">
        <is>
          <t>11 kV panel AH5, Auxiliary transformer feeder</t>
        </is>
      </c>
      <c r="D44" s="14" t="inlineStr">
        <is>
          <t>DI</t>
        </is>
      </c>
      <c r="E44" s="14" t="inlineStr">
        <is>
          <t>Normally open</t>
        </is>
      </c>
      <c r="F44" s="14" t="inlineStr">
        <is>
          <t>2</t>
        </is>
      </c>
      <c r="G44" s="14" t="inlineStr">
        <is>
          <t>-</t>
        </is>
      </c>
      <c r="H44" s="14" t="n">
        <v>1</v>
      </c>
      <c r="I44" s="14" t="inlineStr">
        <is>
          <t>R1-DI03</t>
        </is>
      </c>
      <c r="J44" s="14" t="n">
        <v>11</v>
      </c>
      <c r="K44" s="14" t="inlineStr">
        <is>
          <t>SWR</t>
        </is>
      </c>
      <c r="L44" s="14" t="inlineStr">
        <is>
          <t>SWR-DI2</t>
        </is>
      </c>
      <c r="M44" s="14" t="inlineStr">
        <is>
          <t>BMXDDI3202K</t>
        </is>
      </c>
      <c r="N44" s="14" t="n">
        <v>19</v>
      </c>
      <c r="O44" s="14" t="inlineStr">
        <is>
          <t>Dry contact, wetted 24 V DC from the panel supply</t>
        </is>
      </c>
      <c r="P44" s="14" t="inlineStr"/>
    </row>
    <row r="45" ht="15" customHeight="1">
      <c r="A45" s="14" t="inlineStr">
        <is>
          <t>AH5-RLY-OK</t>
        </is>
      </c>
      <c r="B45" s="14" t="inlineStr">
        <is>
          <t>Protection relay healthy</t>
        </is>
      </c>
      <c r="C45" s="14" t="inlineStr">
        <is>
          <t>11 kV panel AH5, Auxiliary transformer feeder</t>
        </is>
      </c>
      <c r="D45" s="14" t="inlineStr">
        <is>
          <t>DI</t>
        </is>
      </c>
      <c r="E45" s="14" t="inlineStr">
        <is>
          <t>Normally closed</t>
        </is>
      </c>
      <c r="F45" s="14" t="inlineStr">
        <is>
          <t>2</t>
        </is>
      </c>
      <c r="G45" s="14" t="inlineStr">
        <is>
          <t>-</t>
        </is>
      </c>
      <c r="H45" s="14" t="n">
        <v>1</v>
      </c>
      <c r="I45" s="14" t="inlineStr">
        <is>
          <t>R1-DI03</t>
        </is>
      </c>
      <c r="J45" s="14" t="n">
        <v>12</v>
      </c>
      <c r="K45" s="14" t="inlineStr">
        <is>
          <t>SWR</t>
        </is>
      </c>
      <c r="L45" s="14" t="inlineStr">
        <is>
          <t>SWR-DI2</t>
        </is>
      </c>
      <c r="M45" s="14" t="inlineStr">
        <is>
          <t>BMXDDI3202K</t>
        </is>
      </c>
      <c r="N45" s="14" t="n">
        <v>20</v>
      </c>
      <c r="O45" s="14" t="inlineStr">
        <is>
          <t>Dry contact, wetted 24 V DC from the panel supply</t>
        </is>
      </c>
      <c r="P45" s="14" t="inlineStr"/>
    </row>
    <row r="46" ht="15" customHeight="1">
      <c r="A46" s="14" t="inlineStr">
        <is>
          <t>AH5-AUX-OK</t>
        </is>
      </c>
      <c r="B46" s="14" t="inlineStr">
        <is>
          <t>Control supply healthy</t>
        </is>
      </c>
      <c r="C46" s="14" t="inlineStr">
        <is>
          <t>11 kV panel AH5, Auxiliary transformer feeder</t>
        </is>
      </c>
      <c r="D46" s="14" t="inlineStr">
        <is>
          <t>DI</t>
        </is>
      </c>
      <c r="E46" s="14" t="inlineStr">
        <is>
          <t>Normally closed</t>
        </is>
      </c>
      <c r="F46" s="14" t="inlineStr">
        <is>
          <t>2</t>
        </is>
      </c>
      <c r="G46" s="14" t="inlineStr">
        <is>
          <t>-</t>
        </is>
      </c>
      <c r="H46" s="14" t="n">
        <v>1</v>
      </c>
      <c r="I46" s="14" t="inlineStr">
        <is>
          <t>R1-DI03</t>
        </is>
      </c>
      <c r="J46" s="14" t="n">
        <v>13</v>
      </c>
      <c r="K46" s="14" t="inlineStr">
        <is>
          <t>SWR</t>
        </is>
      </c>
      <c r="L46" s="14" t="inlineStr">
        <is>
          <t>SWR-DI2</t>
        </is>
      </c>
      <c r="M46" s="14" t="inlineStr">
        <is>
          <t>BMXDDI3202K</t>
        </is>
      </c>
      <c r="N46" s="14" t="n">
        <v>21</v>
      </c>
      <c r="O46" s="14" t="inlineStr">
        <is>
          <t>Dry contact, wetted 24 V DC from the panel supply</t>
        </is>
      </c>
      <c r="P46" s="14" t="inlineStr"/>
    </row>
    <row r="47" ht="15" customHeight="1">
      <c r="A47" s="14" t="inlineStr">
        <is>
          <t>AH6-CB-OPEN</t>
        </is>
      </c>
      <c r="B47" s="14" t="inlineStr">
        <is>
          <t>Circuit breaker open</t>
        </is>
      </c>
      <c r="C47" s="14" t="inlineStr">
        <is>
          <t>11 kV panel AH6, Prime Minister feeder</t>
        </is>
      </c>
      <c r="D47" s="14" t="inlineStr">
        <is>
          <t>DI</t>
        </is>
      </c>
      <c r="E47" s="14" t="inlineStr">
        <is>
          <t>Status</t>
        </is>
      </c>
      <c r="F47" s="14" t="inlineStr">
        <is>
          <t>Status</t>
        </is>
      </c>
      <c r="G47" s="14" t="inlineStr">
        <is>
          <t>-</t>
        </is>
      </c>
      <c r="H47" s="14" t="n">
        <v>1</v>
      </c>
      <c r="I47" s="14" t="inlineStr">
        <is>
          <t>R1-DI03</t>
        </is>
      </c>
      <c r="J47" s="14" t="n">
        <v>14</v>
      </c>
      <c r="K47" s="14" t="inlineStr">
        <is>
          <t>SWR</t>
        </is>
      </c>
      <c r="L47" s="14" t="inlineStr">
        <is>
          <t>SWR-DI2</t>
        </is>
      </c>
      <c r="M47" s="14" t="inlineStr">
        <is>
          <t>BMXDDI3202K</t>
        </is>
      </c>
      <c r="N47" s="14" t="n">
        <v>22</v>
      </c>
      <c r="O47" s="14" t="inlineStr">
        <is>
          <t>Dry contact, wetted 24 V DC from the panel supply</t>
        </is>
      </c>
      <c r="P47" s="14" t="inlineStr"/>
    </row>
    <row r="48" ht="15" customHeight="1">
      <c r="A48" s="14" t="inlineStr">
        <is>
          <t>AH6-CB-CLSD</t>
        </is>
      </c>
      <c r="B48" s="14" t="inlineStr">
        <is>
          <t>Circuit breaker closed</t>
        </is>
      </c>
      <c r="C48" s="14" t="inlineStr">
        <is>
          <t>11 kV panel AH6, Prime Minister feeder</t>
        </is>
      </c>
      <c r="D48" s="14" t="inlineStr">
        <is>
          <t>DI</t>
        </is>
      </c>
      <c r="E48" s="14" t="inlineStr">
        <is>
          <t>Status</t>
        </is>
      </c>
      <c r="F48" s="14" t="inlineStr">
        <is>
          <t>Status</t>
        </is>
      </c>
      <c r="G48" s="14" t="inlineStr">
        <is>
          <t>-</t>
        </is>
      </c>
      <c r="H48" s="14" t="n">
        <v>1</v>
      </c>
      <c r="I48" s="14" t="inlineStr">
        <is>
          <t>R1-DI03</t>
        </is>
      </c>
      <c r="J48" s="14" t="n">
        <v>15</v>
      </c>
      <c r="K48" s="14" t="inlineStr">
        <is>
          <t>SWR</t>
        </is>
      </c>
      <c r="L48" s="14" t="inlineStr">
        <is>
          <t>SWR-DI2</t>
        </is>
      </c>
      <c r="M48" s="14" t="inlineStr">
        <is>
          <t>BMXDDI3202K</t>
        </is>
      </c>
      <c r="N48" s="14" t="n">
        <v>23</v>
      </c>
      <c r="O48" s="14" t="inlineStr">
        <is>
          <t>Dry contact, wetted 24 V DC from the panel supply</t>
        </is>
      </c>
      <c r="P48" s="14" t="inlineStr"/>
    </row>
    <row r="49" ht="15" customHeight="1">
      <c r="A49" s="14" t="inlineStr">
        <is>
          <t>AH6-CB-TRIP</t>
        </is>
      </c>
      <c r="B49" s="14" t="inlineStr">
        <is>
          <t>Circuit breaker tripped by protection</t>
        </is>
      </c>
      <c r="C49" s="14" t="inlineStr">
        <is>
          <t>11 kV panel AH6, Prime Minister feeder</t>
        </is>
      </c>
      <c r="D49" s="14" t="inlineStr">
        <is>
          <t>DI</t>
        </is>
      </c>
      <c r="E49" s="14" t="inlineStr">
        <is>
          <t>Normally open</t>
        </is>
      </c>
      <c r="F49" s="14" t="inlineStr">
        <is>
          <t>1</t>
        </is>
      </c>
      <c r="G49" s="14" t="inlineStr">
        <is>
          <t>-</t>
        </is>
      </c>
      <c r="H49" s="14" t="n">
        <v>1</v>
      </c>
      <c r="I49" s="14" t="inlineStr">
        <is>
          <t>R1-DI03</t>
        </is>
      </c>
      <c r="J49" s="14" t="n">
        <v>16</v>
      </c>
      <c r="K49" s="14" t="inlineStr">
        <is>
          <t>SWR</t>
        </is>
      </c>
      <c r="L49" s="14" t="inlineStr">
        <is>
          <t>SWR-DI2</t>
        </is>
      </c>
      <c r="M49" s="14" t="inlineStr">
        <is>
          <t>BMXDDI3202K</t>
        </is>
      </c>
      <c r="N49" s="14" t="n">
        <v>24</v>
      </c>
      <c r="O49" s="14" t="inlineStr">
        <is>
          <t>Dry contact, wetted 24 V DC from the panel supply</t>
        </is>
      </c>
      <c r="P49" s="14" t="inlineStr"/>
    </row>
    <row r="50" ht="15" customHeight="1">
      <c r="A50" s="14" t="inlineStr">
        <is>
          <t>AH6-ES-CLSD</t>
        </is>
      </c>
      <c r="B50" s="14" t="inlineStr">
        <is>
          <t>Earth switch closed</t>
        </is>
      </c>
      <c r="C50" s="14" t="inlineStr">
        <is>
          <t>11 kV panel AH6, Prime Minister feeder</t>
        </is>
      </c>
      <c r="D50" s="14" t="inlineStr">
        <is>
          <t>DI</t>
        </is>
      </c>
      <c r="E50" s="14" t="inlineStr">
        <is>
          <t>Status</t>
        </is>
      </c>
      <c r="F50" s="14" t="inlineStr">
        <is>
          <t>Status</t>
        </is>
      </c>
      <c r="G50" s="14" t="inlineStr">
        <is>
          <t>-</t>
        </is>
      </c>
      <c r="H50" s="14" t="n">
        <v>1</v>
      </c>
      <c r="I50" s="14" t="inlineStr">
        <is>
          <t>R1-DI04</t>
        </is>
      </c>
      <c r="J50" s="14" t="n">
        <v>1</v>
      </c>
      <c r="K50" s="14" t="inlineStr">
        <is>
          <t>SWR</t>
        </is>
      </c>
      <c r="L50" s="14" t="inlineStr">
        <is>
          <t>SWR-DI3</t>
        </is>
      </c>
      <c r="M50" s="14" t="inlineStr">
        <is>
          <t>BMXDDI3202K</t>
        </is>
      </c>
      <c r="N50" s="14" t="n">
        <v>1</v>
      </c>
      <c r="O50" s="14" t="inlineStr">
        <is>
          <t>Dry contact, wetted 24 V DC from the panel supply</t>
        </is>
      </c>
      <c r="P50" s="14" t="inlineStr"/>
    </row>
    <row r="51" ht="15" customHeight="1">
      <c r="A51" s="14" t="inlineStr">
        <is>
          <t>AH6-LR-REM</t>
        </is>
      </c>
      <c r="B51" s="14" t="inlineStr">
        <is>
          <t>Local/remote switch in remote</t>
        </is>
      </c>
      <c r="C51" s="14" t="inlineStr">
        <is>
          <t>11 kV panel AH6, Prime Minister feeder</t>
        </is>
      </c>
      <c r="D51" s="14" t="inlineStr">
        <is>
          <t>DI</t>
        </is>
      </c>
      <c r="E51" s="14" t="inlineStr">
        <is>
          <t>Status</t>
        </is>
      </c>
      <c r="F51" s="14" t="inlineStr">
        <is>
          <t>Status</t>
        </is>
      </c>
      <c r="G51" s="14" t="inlineStr">
        <is>
          <t>-</t>
        </is>
      </c>
      <c r="H51" s="14" t="n">
        <v>1</v>
      </c>
      <c r="I51" s="14" t="inlineStr">
        <is>
          <t>R1-DI04</t>
        </is>
      </c>
      <c r="J51" s="14" t="n">
        <v>2</v>
      </c>
      <c r="K51" s="14" t="inlineStr">
        <is>
          <t>SWR</t>
        </is>
      </c>
      <c r="L51" s="14" t="inlineStr">
        <is>
          <t>SWR-DI3</t>
        </is>
      </c>
      <c r="M51" s="14" t="inlineStr">
        <is>
          <t>BMXDDI3202K</t>
        </is>
      </c>
      <c r="N51" s="14" t="n">
        <v>2</v>
      </c>
      <c r="O51" s="14" t="inlineStr">
        <is>
          <t>Dry contact, wetted 24 V DC from the panel supply</t>
        </is>
      </c>
      <c r="P51" s="14" t="inlineStr"/>
    </row>
    <row r="52" ht="15" customHeight="1">
      <c r="A52" s="14" t="inlineStr">
        <is>
          <t>AH6-SPR-CHG</t>
        </is>
      </c>
      <c r="B52" s="14" t="inlineStr">
        <is>
          <t>Closing spring charged</t>
        </is>
      </c>
      <c r="C52" s="14" t="inlineStr">
        <is>
          <t>11 kV panel AH6, Prime Minister feeder</t>
        </is>
      </c>
      <c r="D52" s="14" t="inlineStr">
        <is>
          <t>DI</t>
        </is>
      </c>
      <c r="E52" s="14" t="inlineStr">
        <is>
          <t>Normally closed</t>
        </is>
      </c>
      <c r="F52" s="14" t="inlineStr">
        <is>
          <t>3</t>
        </is>
      </c>
      <c r="G52" s="14" t="inlineStr">
        <is>
          <t>-</t>
        </is>
      </c>
      <c r="H52" s="14" t="n">
        <v>1</v>
      </c>
      <c r="I52" s="14" t="inlineStr">
        <is>
          <t>R1-DI04</t>
        </is>
      </c>
      <c r="J52" s="14" t="n">
        <v>3</v>
      </c>
      <c r="K52" s="14" t="inlineStr">
        <is>
          <t>SWR</t>
        </is>
      </c>
      <c r="L52" s="14" t="inlineStr">
        <is>
          <t>SWR-DI3</t>
        </is>
      </c>
      <c r="M52" s="14" t="inlineStr">
        <is>
          <t>BMXDDI3202K</t>
        </is>
      </c>
      <c r="N52" s="14" t="n">
        <v>3</v>
      </c>
      <c r="O52" s="14" t="inlineStr">
        <is>
          <t>Dry contact, wetted 24 V DC from the panel supply</t>
        </is>
      </c>
      <c r="P52" s="14" t="inlineStr"/>
    </row>
    <row r="53" ht="15" customHeight="1">
      <c r="A53" s="14" t="inlineStr">
        <is>
          <t>AH6-GAS-LOW</t>
        </is>
      </c>
      <c r="B53" s="14" t="inlineStr">
        <is>
          <t>Gas pressure low</t>
        </is>
      </c>
      <c r="C53" s="14" t="inlineStr">
        <is>
          <t>11 kV panel AH6, Prime Minister feeder</t>
        </is>
      </c>
      <c r="D53" s="14" t="inlineStr">
        <is>
          <t>DI</t>
        </is>
      </c>
      <c r="E53" s="14" t="inlineStr">
        <is>
          <t>Normally open</t>
        </is>
      </c>
      <c r="F53" s="14" t="inlineStr">
        <is>
          <t>2</t>
        </is>
      </c>
      <c r="G53" s="14" t="inlineStr">
        <is>
          <t>-</t>
        </is>
      </c>
      <c r="H53" s="14" t="n">
        <v>1</v>
      </c>
      <c r="I53" s="14" t="inlineStr">
        <is>
          <t>R1-DI04</t>
        </is>
      </c>
      <c r="J53" s="14" t="n">
        <v>4</v>
      </c>
      <c r="K53" s="14" t="inlineStr">
        <is>
          <t>SWR</t>
        </is>
      </c>
      <c r="L53" s="14" t="inlineStr">
        <is>
          <t>SWR-DI3</t>
        </is>
      </c>
      <c r="M53" s="14" t="inlineStr">
        <is>
          <t>BMXDDI3202K</t>
        </is>
      </c>
      <c r="N53" s="14" t="n">
        <v>4</v>
      </c>
      <c r="O53" s="14" t="inlineStr">
        <is>
          <t>Dry contact, wetted 24 V DC from the panel supply</t>
        </is>
      </c>
      <c r="P53" s="14" t="inlineStr"/>
    </row>
    <row r="54" ht="15" customHeight="1">
      <c r="A54" s="14" t="inlineStr">
        <is>
          <t>AH6-RLY-OK</t>
        </is>
      </c>
      <c r="B54" s="14" t="inlineStr">
        <is>
          <t>Protection relay healthy</t>
        </is>
      </c>
      <c r="C54" s="14" t="inlineStr">
        <is>
          <t>11 kV panel AH6, Prime Minister feeder</t>
        </is>
      </c>
      <c r="D54" s="14" t="inlineStr">
        <is>
          <t>DI</t>
        </is>
      </c>
      <c r="E54" s="14" t="inlineStr">
        <is>
          <t>Normally closed</t>
        </is>
      </c>
      <c r="F54" s="14" t="inlineStr">
        <is>
          <t>2</t>
        </is>
      </c>
      <c r="G54" s="14" t="inlineStr">
        <is>
          <t>-</t>
        </is>
      </c>
      <c r="H54" s="14" t="n">
        <v>1</v>
      </c>
      <c r="I54" s="14" t="inlineStr">
        <is>
          <t>R1-DI04</t>
        </is>
      </c>
      <c r="J54" s="14" t="n">
        <v>5</v>
      </c>
      <c r="K54" s="14" t="inlineStr">
        <is>
          <t>SWR</t>
        </is>
      </c>
      <c r="L54" s="14" t="inlineStr">
        <is>
          <t>SWR-DI3</t>
        </is>
      </c>
      <c r="M54" s="14" t="inlineStr">
        <is>
          <t>BMXDDI3202K</t>
        </is>
      </c>
      <c r="N54" s="14" t="n">
        <v>5</v>
      </c>
      <c r="O54" s="14" t="inlineStr">
        <is>
          <t>Dry contact, wetted 24 V DC from the panel supply</t>
        </is>
      </c>
      <c r="P54" s="14" t="inlineStr"/>
    </row>
    <row r="55" ht="15" customHeight="1">
      <c r="A55" s="14" t="inlineStr">
        <is>
          <t>AH6-AUX-OK</t>
        </is>
      </c>
      <c r="B55" s="14" t="inlineStr">
        <is>
          <t>Control supply healthy</t>
        </is>
      </c>
      <c r="C55" s="14" t="inlineStr">
        <is>
          <t>11 kV panel AH6, Prime Minister feeder</t>
        </is>
      </c>
      <c r="D55" s="14" t="inlineStr">
        <is>
          <t>DI</t>
        </is>
      </c>
      <c r="E55" s="14" t="inlineStr">
        <is>
          <t>Normally closed</t>
        </is>
      </c>
      <c r="F55" s="14" t="inlineStr">
        <is>
          <t>2</t>
        </is>
      </c>
      <c r="G55" s="14" t="inlineStr">
        <is>
          <t>-</t>
        </is>
      </c>
      <c r="H55" s="14" t="n">
        <v>1</v>
      </c>
      <c r="I55" s="14" t="inlineStr">
        <is>
          <t>R1-DI04</t>
        </is>
      </c>
      <c r="J55" s="14" t="n">
        <v>6</v>
      </c>
      <c r="K55" s="14" t="inlineStr">
        <is>
          <t>SWR</t>
        </is>
      </c>
      <c r="L55" s="14" t="inlineStr">
        <is>
          <t>SWR-DI3</t>
        </is>
      </c>
      <c r="M55" s="14" t="inlineStr">
        <is>
          <t>BMXDDI3202K</t>
        </is>
      </c>
      <c r="N55" s="14" t="n">
        <v>6</v>
      </c>
      <c r="O55" s="14" t="inlineStr">
        <is>
          <t>Dry contact, wetted 24 V DC from the panel supply</t>
        </is>
      </c>
      <c r="P55" s="14" t="inlineStr"/>
    </row>
    <row r="56" ht="15" customHeight="1">
      <c r="A56" s="14" t="inlineStr">
        <is>
          <t>AH7-CB-OPEN</t>
        </is>
      </c>
      <c r="B56" s="14" t="inlineStr">
        <is>
          <t>Circuit breaker open</t>
        </is>
      </c>
      <c r="C56" s="14" t="inlineStr">
        <is>
          <t>11 kV panel AH7, Spare feeder</t>
        </is>
      </c>
      <c r="D56" s="14" t="inlineStr">
        <is>
          <t>DI</t>
        </is>
      </c>
      <c r="E56" s="14" t="inlineStr">
        <is>
          <t>Status</t>
        </is>
      </c>
      <c r="F56" s="14" t="inlineStr">
        <is>
          <t>Status</t>
        </is>
      </c>
      <c r="G56" s="14" t="inlineStr">
        <is>
          <t>-</t>
        </is>
      </c>
      <c r="H56" s="14" t="n">
        <v>1</v>
      </c>
      <c r="I56" s="14" t="inlineStr">
        <is>
          <t>R1-DI04</t>
        </is>
      </c>
      <c r="J56" s="14" t="n">
        <v>7</v>
      </c>
      <c r="K56" s="14" t="inlineStr">
        <is>
          <t>SWR</t>
        </is>
      </c>
      <c r="L56" s="14" t="inlineStr">
        <is>
          <t>SWR-DI3</t>
        </is>
      </c>
      <c r="M56" s="14" t="inlineStr">
        <is>
          <t>BMXDDI3202K</t>
        </is>
      </c>
      <c r="N56" s="14" t="n">
        <v>7</v>
      </c>
      <c r="O56" s="14" t="inlineStr">
        <is>
          <t>Dry contact, wetted 24 V DC from the panel supply</t>
        </is>
      </c>
      <c r="P56" s="14" t="inlineStr"/>
    </row>
    <row r="57" ht="15" customHeight="1">
      <c r="A57" s="14" t="inlineStr">
        <is>
          <t>AH7-CB-CLSD</t>
        </is>
      </c>
      <c r="B57" s="14" t="inlineStr">
        <is>
          <t>Circuit breaker closed</t>
        </is>
      </c>
      <c r="C57" s="14" t="inlineStr">
        <is>
          <t>11 kV panel AH7, Spare feeder</t>
        </is>
      </c>
      <c r="D57" s="14" t="inlineStr">
        <is>
          <t>DI</t>
        </is>
      </c>
      <c r="E57" s="14" t="inlineStr">
        <is>
          <t>Status</t>
        </is>
      </c>
      <c r="F57" s="14" t="inlineStr">
        <is>
          <t>Status</t>
        </is>
      </c>
      <c r="G57" s="14" t="inlineStr">
        <is>
          <t>-</t>
        </is>
      </c>
      <c r="H57" s="14" t="n">
        <v>1</v>
      </c>
      <c r="I57" s="14" t="inlineStr">
        <is>
          <t>R1-DI04</t>
        </is>
      </c>
      <c r="J57" s="14" t="n">
        <v>8</v>
      </c>
      <c r="K57" s="14" t="inlineStr">
        <is>
          <t>SWR</t>
        </is>
      </c>
      <c r="L57" s="14" t="inlineStr">
        <is>
          <t>SWR-DI3</t>
        </is>
      </c>
      <c r="M57" s="14" t="inlineStr">
        <is>
          <t>BMXDDI3202K</t>
        </is>
      </c>
      <c r="N57" s="14" t="n">
        <v>8</v>
      </c>
      <c r="O57" s="14" t="inlineStr">
        <is>
          <t>Dry contact, wetted 24 V DC from the panel supply</t>
        </is>
      </c>
      <c r="P57" s="14" t="inlineStr"/>
    </row>
    <row r="58" ht="15" customHeight="1">
      <c r="A58" s="14" t="inlineStr">
        <is>
          <t>AH7-CB-TRIP</t>
        </is>
      </c>
      <c r="B58" s="14" t="inlineStr">
        <is>
          <t>Circuit breaker tripped by protection</t>
        </is>
      </c>
      <c r="C58" s="14" t="inlineStr">
        <is>
          <t>11 kV panel AH7, Spare feeder</t>
        </is>
      </c>
      <c r="D58" s="14" t="inlineStr">
        <is>
          <t>DI</t>
        </is>
      </c>
      <c r="E58" s="14" t="inlineStr">
        <is>
          <t>Normally open</t>
        </is>
      </c>
      <c r="F58" s="14" t="inlineStr">
        <is>
          <t>1</t>
        </is>
      </c>
      <c r="G58" s="14" t="inlineStr">
        <is>
          <t>-</t>
        </is>
      </c>
      <c r="H58" s="14" t="n">
        <v>1</v>
      </c>
      <c r="I58" s="14" t="inlineStr">
        <is>
          <t>R1-DI04</t>
        </is>
      </c>
      <c r="J58" s="14" t="n">
        <v>9</v>
      </c>
      <c r="K58" s="14" t="inlineStr">
        <is>
          <t>SWR</t>
        </is>
      </c>
      <c r="L58" s="14" t="inlineStr">
        <is>
          <t>SWR-DI3</t>
        </is>
      </c>
      <c r="M58" s="14" t="inlineStr">
        <is>
          <t>BMXDDI3202K</t>
        </is>
      </c>
      <c r="N58" s="14" t="n">
        <v>9</v>
      </c>
      <c r="O58" s="14" t="inlineStr">
        <is>
          <t>Dry contact, wetted 24 V DC from the panel supply</t>
        </is>
      </c>
      <c r="P58" s="14" t="inlineStr"/>
    </row>
    <row r="59" ht="15" customHeight="1">
      <c r="A59" s="14" t="inlineStr">
        <is>
          <t>AH7-ES-CLSD</t>
        </is>
      </c>
      <c r="B59" s="14" t="inlineStr">
        <is>
          <t>Earth switch closed</t>
        </is>
      </c>
      <c r="C59" s="14" t="inlineStr">
        <is>
          <t>11 kV panel AH7, Spare feeder</t>
        </is>
      </c>
      <c r="D59" s="14" t="inlineStr">
        <is>
          <t>DI</t>
        </is>
      </c>
      <c r="E59" s="14" t="inlineStr">
        <is>
          <t>Status</t>
        </is>
      </c>
      <c r="F59" s="14" t="inlineStr">
        <is>
          <t>Status</t>
        </is>
      </c>
      <c r="G59" s="14" t="inlineStr">
        <is>
          <t>-</t>
        </is>
      </c>
      <c r="H59" s="14" t="n">
        <v>1</v>
      </c>
      <c r="I59" s="14" t="inlineStr">
        <is>
          <t>R1-DI04</t>
        </is>
      </c>
      <c r="J59" s="14" t="n">
        <v>10</v>
      </c>
      <c r="K59" s="14" t="inlineStr">
        <is>
          <t>SWR</t>
        </is>
      </c>
      <c r="L59" s="14" t="inlineStr">
        <is>
          <t>SWR-DI3</t>
        </is>
      </c>
      <c r="M59" s="14" t="inlineStr">
        <is>
          <t>BMXDDI3202K</t>
        </is>
      </c>
      <c r="N59" s="14" t="n">
        <v>10</v>
      </c>
      <c r="O59" s="14" t="inlineStr">
        <is>
          <t>Dry contact, wetted 24 V DC from the panel supply</t>
        </is>
      </c>
      <c r="P59" s="14" t="inlineStr"/>
    </row>
    <row r="60" ht="15" customHeight="1">
      <c r="A60" s="14" t="inlineStr">
        <is>
          <t>AH7-LR-REM</t>
        </is>
      </c>
      <c r="B60" s="14" t="inlineStr">
        <is>
          <t>Local/remote switch in remote</t>
        </is>
      </c>
      <c r="C60" s="14" t="inlineStr">
        <is>
          <t>11 kV panel AH7, Spare feeder</t>
        </is>
      </c>
      <c r="D60" s="14" t="inlineStr">
        <is>
          <t>DI</t>
        </is>
      </c>
      <c r="E60" s="14" t="inlineStr">
        <is>
          <t>Status</t>
        </is>
      </c>
      <c r="F60" s="14" t="inlineStr">
        <is>
          <t>Status</t>
        </is>
      </c>
      <c r="G60" s="14" t="inlineStr">
        <is>
          <t>-</t>
        </is>
      </c>
      <c r="H60" s="14" t="n">
        <v>1</v>
      </c>
      <c r="I60" s="14" t="inlineStr">
        <is>
          <t>R1-DI04</t>
        </is>
      </c>
      <c r="J60" s="14" t="n">
        <v>11</v>
      </c>
      <c r="K60" s="14" t="inlineStr">
        <is>
          <t>SWR</t>
        </is>
      </c>
      <c r="L60" s="14" t="inlineStr">
        <is>
          <t>SWR-DI3</t>
        </is>
      </c>
      <c r="M60" s="14" t="inlineStr">
        <is>
          <t>BMXDDI3202K</t>
        </is>
      </c>
      <c r="N60" s="14" t="n">
        <v>11</v>
      </c>
      <c r="O60" s="14" t="inlineStr">
        <is>
          <t>Dry contact, wetted 24 V DC from the panel supply</t>
        </is>
      </c>
      <c r="P60" s="14" t="inlineStr"/>
    </row>
    <row r="61" ht="15" customHeight="1">
      <c r="A61" s="14" t="inlineStr">
        <is>
          <t>AH7-SPR-CHG</t>
        </is>
      </c>
      <c r="B61" s="14" t="inlineStr">
        <is>
          <t>Closing spring charged</t>
        </is>
      </c>
      <c r="C61" s="14" t="inlineStr">
        <is>
          <t>11 kV panel AH7, Spare feeder</t>
        </is>
      </c>
      <c r="D61" s="14" t="inlineStr">
        <is>
          <t>DI</t>
        </is>
      </c>
      <c r="E61" s="14" t="inlineStr">
        <is>
          <t>Normally closed</t>
        </is>
      </c>
      <c r="F61" s="14" t="inlineStr">
        <is>
          <t>3</t>
        </is>
      </c>
      <c r="G61" s="14" t="inlineStr">
        <is>
          <t>-</t>
        </is>
      </c>
      <c r="H61" s="14" t="n">
        <v>1</v>
      </c>
      <c r="I61" s="14" t="inlineStr">
        <is>
          <t>R1-DI04</t>
        </is>
      </c>
      <c r="J61" s="14" t="n">
        <v>12</v>
      </c>
      <c r="K61" s="14" t="inlineStr">
        <is>
          <t>SWR</t>
        </is>
      </c>
      <c r="L61" s="14" t="inlineStr">
        <is>
          <t>SWR-DI3</t>
        </is>
      </c>
      <c r="M61" s="14" t="inlineStr">
        <is>
          <t>BMXDDI3202K</t>
        </is>
      </c>
      <c r="N61" s="14" t="n">
        <v>12</v>
      </c>
      <c r="O61" s="14" t="inlineStr">
        <is>
          <t>Dry contact, wetted 24 V DC from the panel supply</t>
        </is>
      </c>
      <c r="P61" s="14" t="inlineStr"/>
    </row>
    <row r="62" ht="15" customHeight="1">
      <c r="A62" s="14" t="inlineStr">
        <is>
          <t>AH7-GAS-LOW</t>
        </is>
      </c>
      <c r="B62" s="14" t="inlineStr">
        <is>
          <t>Gas pressure low</t>
        </is>
      </c>
      <c r="C62" s="14" t="inlineStr">
        <is>
          <t>11 kV panel AH7, Spare feeder</t>
        </is>
      </c>
      <c r="D62" s="14" t="inlineStr">
        <is>
          <t>DI</t>
        </is>
      </c>
      <c r="E62" s="14" t="inlineStr">
        <is>
          <t>Normally open</t>
        </is>
      </c>
      <c r="F62" s="14" t="inlineStr">
        <is>
          <t>2</t>
        </is>
      </c>
      <c r="G62" s="14" t="inlineStr">
        <is>
          <t>-</t>
        </is>
      </c>
      <c r="H62" s="14" t="n">
        <v>1</v>
      </c>
      <c r="I62" s="14" t="inlineStr">
        <is>
          <t>R1-DI04</t>
        </is>
      </c>
      <c r="J62" s="14" t="n">
        <v>13</v>
      </c>
      <c r="K62" s="14" t="inlineStr">
        <is>
          <t>SWR</t>
        </is>
      </c>
      <c r="L62" s="14" t="inlineStr">
        <is>
          <t>SWR-DI3</t>
        </is>
      </c>
      <c r="M62" s="14" t="inlineStr">
        <is>
          <t>BMXDDI3202K</t>
        </is>
      </c>
      <c r="N62" s="14" t="n">
        <v>13</v>
      </c>
      <c r="O62" s="14" t="inlineStr">
        <is>
          <t>Dry contact, wetted 24 V DC from the panel supply</t>
        </is>
      </c>
      <c r="P62" s="14" t="inlineStr"/>
    </row>
    <row r="63" ht="15" customHeight="1">
      <c r="A63" s="14" t="inlineStr">
        <is>
          <t>AH7-RLY-OK</t>
        </is>
      </c>
      <c r="B63" s="14" t="inlineStr">
        <is>
          <t>Protection relay healthy</t>
        </is>
      </c>
      <c r="C63" s="14" t="inlineStr">
        <is>
          <t>11 kV panel AH7, Spare feeder</t>
        </is>
      </c>
      <c r="D63" s="14" t="inlineStr">
        <is>
          <t>DI</t>
        </is>
      </c>
      <c r="E63" s="14" t="inlineStr">
        <is>
          <t>Normally closed</t>
        </is>
      </c>
      <c r="F63" s="14" t="inlineStr">
        <is>
          <t>2</t>
        </is>
      </c>
      <c r="G63" s="14" t="inlineStr">
        <is>
          <t>-</t>
        </is>
      </c>
      <c r="H63" s="14" t="n">
        <v>1</v>
      </c>
      <c r="I63" s="14" t="inlineStr">
        <is>
          <t>R1-DI04</t>
        </is>
      </c>
      <c r="J63" s="14" t="n">
        <v>14</v>
      </c>
      <c r="K63" s="14" t="inlineStr">
        <is>
          <t>SWR</t>
        </is>
      </c>
      <c r="L63" s="14" t="inlineStr">
        <is>
          <t>SWR-DI3</t>
        </is>
      </c>
      <c r="M63" s="14" t="inlineStr">
        <is>
          <t>BMXDDI3202K</t>
        </is>
      </c>
      <c r="N63" s="14" t="n">
        <v>14</v>
      </c>
      <c r="O63" s="14" t="inlineStr">
        <is>
          <t>Dry contact, wetted 24 V DC from the panel supply</t>
        </is>
      </c>
      <c r="P63" s="14" t="inlineStr"/>
    </row>
    <row r="64" ht="15" customHeight="1">
      <c r="A64" s="14" t="inlineStr">
        <is>
          <t>AH7-AUX-OK</t>
        </is>
      </c>
      <c r="B64" s="14" t="inlineStr">
        <is>
          <t>Control supply healthy</t>
        </is>
      </c>
      <c r="C64" s="14" t="inlineStr">
        <is>
          <t>11 kV panel AH7, Spare feeder</t>
        </is>
      </c>
      <c r="D64" s="14" t="inlineStr">
        <is>
          <t>DI</t>
        </is>
      </c>
      <c r="E64" s="14" t="inlineStr">
        <is>
          <t>Normally closed</t>
        </is>
      </c>
      <c r="F64" s="14" t="inlineStr">
        <is>
          <t>2</t>
        </is>
      </c>
      <c r="G64" s="14" t="inlineStr">
        <is>
          <t>-</t>
        </is>
      </c>
      <c r="H64" s="14" t="n">
        <v>1</v>
      </c>
      <c r="I64" s="14" t="inlineStr">
        <is>
          <t>R1-DI04</t>
        </is>
      </c>
      <c r="J64" s="14" t="n">
        <v>15</v>
      </c>
      <c r="K64" s="14" t="inlineStr">
        <is>
          <t>SWR</t>
        </is>
      </c>
      <c r="L64" s="14" t="inlineStr">
        <is>
          <t>SWR-DI3</t>
        </is>
      </c>
      <c r="M64" s="14" t="inlineStr">
        <is>
          <t>BMXDDI3202K</t>
        </is>
      </c>
      <c r="N64" s="14" t="n">
        <v>15</v>
      </c>
      <c r="O64" s="14" t="inlineStr">
        <is>
          <t>Dry contact, wetted 24 V DC from the panel supply</t>
        </is>
      </c>
      <c r="P64" s="14" t="inlineStr"/>
    </row>
    <row r="65" ht="15" customHeight="1">
      <c r="A65" s="14" t="inlineStr">
        <is>
          <t>AH8-NER-EF</t>
        </is>
      </c>
      <c r="B65" s="14" t="inlineStr">
        <is>
          <t>Earth fault current alarm</t>
        </is>
      </c>
      <c r="C65" s="14" t="inlineStr">
        <is>
          <t>11 kV panel AH8, neutral earthing resistor</t>
        </is>
      </c>
      <c r="D65" s="14" t="inlineStr">
        <is>
          <t>DI</t>
        </is>
      </c>
      <c r="E65" s="14" t="inlineStr">
        <is>
          <t>Normally open</t>
        </is>
      </c>
      <c r="F65" s="14" t="inlineStr">
        <is>
          <t>1</t>
        </is>
      </c>
      <c r="G65" s="14" t="inlineStr">
        <is>
          <t>-</t>
        </is>
      </c>
      <c r="H65" s="14" t="n">
        <v>1</v>
      </c>
      <c r="I65" s="14" t="inlineStr">
        <is>
          <t>R1-DI04</t>
        </is>
      </c>
      <c r="J65" s="14" t="n">
        <v>16</v>
      </c>
      <c r="K65" s="14" t="inlineStr">
        <is>
          <t>SWR</t>
        </is>
      </c>
      <c r="L65" s="14" t="inlineStr">
        <is>
          <t>SWR-DI3</t>
        </is>
      </c>
      <c r="M65" s="14" t="inlineStr">
        <is>
          <t>BMXDDI3202K</t>
        </is>
      </c>
      <c r="N65" s="14" t="n">
        <v>16</v>
      </c>
      <c r="O65" s="14" t="inlineStr">
        <is>
          <t>Dry contact, wetted 24 V DC from the panel supply</t>
        </is>
      </c>
      <c r="P65" s="14" t="inlineStr"/>
    </row>
    <row r="66" ht="15" customHeight="1">
      <c r="A66" s="14" t="inlineStr">
        <is>
          <t>AH8-NER-TEMP</t>
        </is>
      </c>
      <c r="B66" s="14" t="inlineStr">
        <is>
          <t>Resistor temperature high</t>
        </is>
      </c>
      <c r="C66" s="14" t="inlineStr">
        <is>
          <t>11 kV panel AH8, neutral earthing resistor</t>
        </is>
      </c>
      <c r="D66" s="14" t="inlineStr">
        <is>
          <t>DI</t>
        </is>
      </c>
      <c r="E66" s="14" t="inlineStr">
        <is>
          <t>Normally open</t>
        </is>
      </c>
      <c r="F66" s="14" t="inlineStr">
        <is>
          <t>2</t>
        </is>
      </c>
      <c r="G66" s="14" t="inlineStr">
        <is>
          <t>-</t>
        </is>
      </c>
      <c r="H66" s="14" t="n">
        <v>1</v>
      </c>
      <c r="I66" s="14" t="inlineStr">
        <is>
          <t>R1-DI05</t>
        </is>
      </c>
      <c r="J66" s="14" t="n">
        <v>1</v>
      </c>
      <c r="K66" s="14" t="inlineStr">
        <is>
          <t>SWR</t>
        </is>
      </c>
      <c r="L66" s="14" t="inlineStr">
        <is>
          <t>SWR-DI3</t>
        </is>
      </c>
      <c r="M66" s="14" t="inlineStr">
        <is>
          <t>BMXDDI3202K</t>
        </is>
      </c>
      <c r="N66" s="14" t="n">
        <v>17</v>
      </c>
      <c r="O66" s="14" t="inlineStr">
        <is>
          <t>Dry contact, wetted 24 V DC from the panel supply</t>
        </is>
      </c>
      <c r="P66" s="14" t="inlineStr"/>
    </row>
    <row r="67" ht="15" customHeight="1">
      <c r="A67" s="14" t="inlineStr">
        <is>
          <t>AH8-AUX-OK</t>
        </is>
      </c>
      <c r="B67" s="14" t="inlineStr">
        <is>
          <t>Panel supply healthy</t>
        </is>
      </c>
      <c r="C67" s="14" t="inlineStr">
        <is>
          <t>11 kV panel AH8, neutral earthing resistor</t>
        </is>
      </c>
      <c r="D67" s="14" t="inlineStr">
        <is>
          <t>DI</t>
        </is>
      </c>
      <c r="E67" s="14" t="inlineStr">
        <is>
          <t>Normally closed</t>
        </is>
      </c>
      <c r="F67" s="14" t="inlineStr">
        <is>
          <t>2</t>
        </is>
      </c>
      <c r="G67" s="14" t="inlineStr">
        <is>
          <t>-</t>
        </is>
      </c>
      <c r="H67" s="14" t="n">
        <v>1</v>
      </c>
      <c r="I67" s="14" t="inlineStr">
        <is>
          <t>R1-DI05</t>
        </is>
      </c>
      <c r="J67" s="14" t="n">
        <v>2</v>
      </c>
      <c r="K67" s="14" t="inlineStr">
        <is>
          <t>SWR</t>
        </is>
      </c>
      <c r="L67" s="14" t="inlineStr">
        <is>
          <t>SWR-DI3</t>
        </is>
      </c>
      <c r="M67" s="14" t="inlineStr">
        <is>
          <t>BMXDDI3202K</t>
        </is>
      </c>
      <c r="N67" s="14" t="n">
        <v>18</v>
      </c>
      <c r="O67" s="14" t="inlineStr">
        <is>
          <t>Dry contact, wetted 24 V DC from the panel supply</t>
        </is>
      </c>
      <c r="P67" s="14" t="inlineStr"/>
    </row>
    <row r="68" ht="15" customHeight="1">
      <c r="A68" s="14" t="inlineStr">
        <is>
          <t>AH8-CB-OPEN</t>
        </is>
      </c>
      <c r="B68" s="14" t="inlineStr">
        <is>
          <t>Circuit breaker open</t>
        </is>
      </c>
      <c r="C68" s="14" t="inlineStr">
        <is>
          <t>11 kV panel AH8, neutral earthing resistor</t>
        </is>
      </c>
      <c r="D68" s="14" t="inlineStr">
        <is>
          <t>DI</t>
        </is>
      </c>
      <c r="E68" s="14" t="inlineStr">
        <is>
          <t>Status</t>
        </is>
      </c>
      <c r="F68" s="14" t="inlineStr">
        <is>
          <t>Status</t>
        </is>
      </c>
      <c r="G68" s="14" t="inlineStr">
        <is>
          <t>-</t>
        </is>
      </c>
      <c r="H68" s="14" t="n">
        <v>1</v>
      </c>
      <c r="I68" s="14" t="inlineStr">
        <is>
          <t>R1-DI05</t>
        </is>
      </c>
      <c r="J68" s="14" t="n">
        <v>3</v>
      </c>
      <c r="K68" s="14" t="inlineStr">
        <is>
          <t>SWR</t>
        </is>
      </c>
      <c r="L68" s="14" t="inlineStr">
        <is>
          <t>SWR-DI3</t>
        </is>
      </c>
      <c r="M68" s="14" t="inlineStr">
        <is>
          <t>BMXDDI3202K</t>
        </is>
      </c>
      <c r="N68" s="14" t="n">
        <v>19</v>
      </c>
      <c r="O68" s="14" t="inlineStr">
        <is>
          <t>Dry contact, wetted 24 V DC from the panel supply</t>
        </is>
      </c>
      <c r="P68" s="14" t="inlineStr"/>
    </row>
    <row r="69" ht="15" customHeight="1">
      <c r="A69" s="14" t="inlineStr">
        <is>
          <t>AH8-CB-CLSD</t>
        </is>
      </c>
      <c r="B69" s="14" t="inlineStr">
        <is>
          <t>Circuit breaker closed</t>
        </is>
      </c>
      <c r="C69" s="14" t="inlineStr">
        <is>
          <t>11 kV panel AH8, neutral earthing resistor</t>
        </is>
      </c>
      <c r="D69" s="14" t="inlineStr">
        <is>
          <t>DI</t>
        </is>
      </c>
      <c r="E69" s="14" t="inlineStr">
        <is>
          <t>Status</t>
        </is>
      </c>
      <c r="F69" s="14" t="inlineStr">
        <is>
          <t>Status</t>
        </is>
      </c>
      <c r="G69" s="14" t="inlineStr">
        <is>
          <t>-</t>
        </is>
      </c>
      <c r="H69" s="14" t="n">
        <v>1</v>
      </c>
      <c r="I69" s="14" t="inlineStr">
        <is>
          <t>R1-DI05</t>
        </is>
      </c>
      <c r="J69" s="14" t="n">
        <v>4</v>
      </c>
      <c r="K69" s="14" t="inlineStr">
        <is>
          <t>SWR</t>
        </is>
      </c>
      <c r="L69" s="14" t="inlineStr">
        <is>
          <t>SWR-DI3</t>
        </is>
      </c>
      <c r="M69" s="14" t="inlineStr">
        <is>
          <t>BMXDDI3202K</t>
        </is>
      </c>
      <c r="N69" s="14" t="n">
        <v>20</v>
      </c>
      <c r="O69" s="14" t="inlineStr">
        <is>
          <t>Dry contact, wetted 24 V DC from the panel supply</t>
        </is>
      </c>
      <c r="P69" s="14" t="inlineStr"/>
    </row>
    <row r="70" ht="15" customHeight="1">
      <c r="A70" s="14" t="inlineStr">
        <is>
          <t>AH8-CB-TRIP</t>
        </is>
      </c>
      <c r="B70" s="14" t="inlineStr">
        <is>
          <t>Circuit breaker tripped by protection</t>
        </is>
      </c>
      <c r="C70" s="14" t="inlineStr">
        <is>
          <t>11 kV panel AH8, neutral earthing resistor</t>
        </is>
      </c>
      <c r="D70" s="14" t="inlineStr">
        <is>
          <t>DI</t>
        </is>
      </c>
      <c r="E70" s="14" t="inlineStr">
        <is>
          <t>Normally open</t>
        </is>
      </c>
      <c r="F70" s="14" t="inlineStr">
        <is>
          <t>1</t>
        </is>
      </c>
      <c r="G70" s="14" t="inlineStr">
        <is>
          <t>-</t>
        </is>
      </c>
      <c r="H70" s="14" t="n">
        <v>1</v>
      </c>
      <c r="I70" s="14" t="inlineStr">
        <is>
          <t>R1-DI05</t>
        </is>
      </c>
      <c r="J70" s="14" t="n">
        <v>5</v>
      </c>
      <c r="K70" s="14" t="inlineStr">
        <is>
          <t>SWR</t>
        </is>
      </c>
      <c r="L70" s="14" t="inlineStr">
        <is>
          <t>SWR-DI3</t>
        </is>
      </c>
      <c r="M70" s="14" t="inlineStr">
        <is>
          <t>BMXDDI3202K</t>
        </is>
      </c>
      <c r="N70" s="14" t="n">
        <v>21</v>
      </c>
      <c r="O70" s="14" t="inlineStr">
        <is>
          <t>Dry contact, wetted 24 V DC from the panel supply</t>
        </is>
      </c>
      <c r="P70" s="14" t="inlineStr"/>
    </row>
    <row r="71" ht="15" customHeight="1">
      <c r="A71" s="14" t="inlineStr">
        <is>
          <t>AH8-ES-CLSD</t>
        </is>
      </c>
      <c r="B71" s="14" t="inlineStr">
        <is>
          <t>Earth switch closed</t>
        </is>
      </c>
      <c r="C71" s="14" t="inlineStr">
        <is>
          <t>11 kV panel AH8, neutral earthing resistor</t>
        </is>
      </c>
      <c r="D71" s="14" t="inlineStr">
        <is>
          <t>DI</t>
        </is>
      </c>
      <c r="E71" s="14" t="inlineStr">
        <is>
          <t>Status</t>
        </is>
      </c>
      <c r="F71" s="14" t="inlineStr">
        <is>
          <t>Status</t>
        </is>
      </c>
      <c r="G71" s="14" t="inlineStr">
        <is>
          <t>-</t>
        </is>
      </c>
      <c r="H71" s="14" t="n">
        <v>1</v>
      </c>
      <c r="I71" s="14" t="inlineStr">
        <is>
          <t>R1-DI05</t>
        </is>
      </c>
      <c r="J71" s="14" t="n">
        <v>6</v>
      </c>
      <c r="K71" s="14" t="inlineStr">
        <is>
          <t>SWR</t>
        </is>
      </c>
      <c r="L71" s="14" t="inlineStr">
        <is>
          <t>SWR-DI3</t>
        </is>
      </c>
      <c r="M71" s="14" t="inlineStr">
        <is>
          <t>BMXDDI3202K</t>
        </is>
      </c>
      <c r="N71" s="14" t="n">
        <v>22</v>
      </c>
      <c r="O71" s="14" t="inlineStr">
        <is>
          <t>Dry contact, wetted 24 V DC from the panel supply</t>
        </is>
      </c>
      <c r="P71" s="14" t="inlineStr"/>
    </row>
    <row r="72" ht="15" customHeight="1">
      <c r="A72" s="14" t="inlineStr">
        <is>
          <t>AH8-GAS-LOW</t>
        </is>
      </c>
      <c r="B72" s="14" t="inlineStr">
        <is>
          <t>Gas pressure low</t>
        </is>
      </c>
      <c r="C72" s="14" t="inlineStr">
        <is>
          <t>11 kV panel AH8, neutral earthing resistor</t>
        </is>
      </c>
      <c r="D72" s="14" t="inlineStr">
        <is>
          <t>DI</t>
        </is>
      </c>
      <c r="E72" s="14" t="inlineStr">
        <is>
          <t>Normally open</t>
        </is>
      </c>
      <c r="F72" s="14" t="inlineStr">
        <is>
          <t>2</t>
        </is>
      </c>
      <c r="G72" s="14" t="inlineStr">
        <is>
          <t>-</t>
        </is>
      </c>
      <c r="H72" s="14" t="n">
        <v>1</v>
      </c>
      <c r="I72" s="14" t="inlineStr">
        <is>
          <t>R1-DI05</t>
        </is>
      </c>
      <c r="J72" s="14" t="n">
        <v>7</v>
      </c>
      <c r="K72" s="14" t="inlineStr">
        <is>
          <t>SWR</t>
        </is>
      </c>
      <c r="L72" s="14" t="inlineStr">
        <is>
          <t>SWR-DI3</t>
        </is>
      </c>
      <c r="M72" s="14" t="inlineStr">
        <is>
          <t>BMXDDI3202K</t>
        </is>
      </c>
      <c r="N72" s="14" t="n">
        <v>23</v>
      </c>
      <c r="O72" s="14" t="inlineStr">
        <is>
          <t>Dry contact, wetted 24 V DC from the panel supply</t>
        </is>
      </c>
      <c r="P72" s="14" t="inlineStr"/>
    </row>
    <row r="73" ht="15" customHeight="1">
      <c r="A73" s="14" t="inlineStr">
        <is>
          <t>T-AUX-OT-ALM</t>
        </is>
      </c>
      <c r="B73" s="14" t="inlineStr">
        <is>
          <t>Oil temperature alarm</t>
        </is>
      </c>
      <c r="C73" s="14" t="inlineStr">
        <is>
          <t>Auxiliary transformer 100 kVA</t>
        </is>
      </c>
      <c r="D73" s="14" t="inlineStr">
        <is>
          <t>DI</t>
        </is>
      </c>
      <c r="E73" s="14" t="inlineStr">
        <is>
          <t>Normally open</t>
        </is>
      </c>
      <c r="F73" s="14" t="inlineStr">
        <is>
          <t>3</t>
        </is>
      </c>
      <c r="G73" s="14" t="inlineStr">
        <is>
          <t>-</t>
        </is>
      </c>
      <c r="H73" s="14" t="n">
        <v>2</v>
      </c>
      <c r="I73" s="14" t="inlineStr">
        <is>
          <t>R2-DI01</t>
        </is>
      </c>
      <c r="J73" s="14" t="n">
        <v>1</v>
      </c>
      <c r="K73" s="14" t="inlineStr">
        <is>
          <t>SWR</t>
        </is>
      </c>
      <c r="L73" s="14" t="inlineStr">
        <is>
          <t>SWR-DI4</t>
        </is>
      </c>
      <c r="M73" s="14" t="inlineStr">
        <is>
          <t>BMXDDI3202K</t>
        </is>
      </c>
      <c r="N73" s="14" t="n">
        <v>1</v>
      </c>
      <c r="O73" s="14" t="inlineStr">
        <is>
          <t>Dry contact, wetted 24 V DC from the panel supply</t>
        </is>
      </c>
      <c r="P73" s="14" t="inlineStr"/>
    </row>
    <row r="74" ht="15" customHeight="1">
      <c r="A74" s="14" t="inlineStr">
        <is>
          <t>T-AUX-OT-TRIP</t>
        </is>
      </c>
      <c r="B74" s="14" t="inlineStr">
        <is>
          <t>Oil temperature trip</t>
        </is>
      </c>
      <c r="C74" s="14" t="inlineStr">
        <is>
          <t>Auxiliary transformer 100 kVA</t>
        </is>
      </c>
      <c r="D74" s="14" t="inlineStr">
        <is>
          <t>DI</t>
        </is>
      </c>
      <c r="E74" s="14" t="inlineStr">
        <is>
          <t>Normally open</t>
        </is>
      </c>
      <c r="F74" s="14" t="inlineStr">
        <is>
          <t>1</t>
        </is>
      </c>
      <c r="G74" s="14" t="inlineStr">
        <is>
          <t>-</t>
        </is>
      </c>
      <c r="H74" s="14" t="n">
        <v>2</v>
      </c>
      <c r="I74" s="14" t="inlineStr">
        <is>
          <t>R2-DI01</t>
        </is>
      </c>
      <c r="J74" s="14" t="n">
        <v>2</v>
      </c>
      <c r="K74" s="14" t="inlineStr">
        <is>
          <t>SWR</t>
        </is>
      </c>
      <c r="L74" s="14" t="inlineStr">
        <is>
          <t>SWR-DI4</t>
        </is>
      </c>
      <c r="M74" s="14" t="inlineStr">
        <is>
          <t>BMXDDI3202K</t>
        </is>
      </c>
      <c r="N74" s="14" t="n">
        <v>2</v>
      </c>
      <c r="O74" s="14" t="inlineStr">
        <is>
          <t>Dry contact, wetted 24 V DC from the panel supply</t>
        </is>
      </c>
      <c r="P74" s="14" t="inlineStr"/>
    </row>
    <row r="75" ht="15" customHeight="1">
      <c r="A75" s="14" t="inlineStr">
        <is>
          <t>T-AUX-WT-ALM</t>
        </is>
      </c>
      <c r="B75" s="14" t="inlineStr">
        <is>
          <t>Winding temperature alarm</t>
        </is>
      </c>
      <c r="C75" s="14" t="inlineStr">
        <is>
          <t>Auxiliary transformer 100 kVA</t>
        </is>
      </c>
      <c r="D75" s="14" t="inlineStr">
        <is>
          <t>DI</t>
        </is>
      </c>
      <c r="E75" s="14" t="inlineStr">
        <is>
          <t>Normally open</t>
        </is>
      </c>
      <c r="F75" s="14" t="inlineStr">
        <is>
          <t>3</t>
        </is>
      </c>
      <c r="G75" s="14" t="inlineStr">
        <is>
          <t>-</t>
        </is>
      </c>
      <c r="H75" s="14" t="n">
        <v>2</v>
      </c>
      <c r="I75" s="14" t="inlineStr">
        <is>
          <t>R2-DI01</t>
        </is>
      </c>
      <c r="J75" s="14" t="n">
        <v>3</v>
      </c>
      <c r="K75" s="14" t="inlineStr">
        <is>
          <t>SWR</t>
        </is>
      </c>
      <c r="L75" s="14" t="inlineStr">
        <is>
          <t>SWR-DI4</t>
        </is>
      </c>
      <c r="M75" s="14" t="inlineStr">
        <is>
          <t>BMXDDI3202K</t>
        </is>
      </c>
      <c r="N75" s="14" t="n">
        <v>3</v>
      </c>
      <c r="O75" s="14" t="inlineStr">
        <is>
          <t>Dry contact, wetted 24 V DC from the panel supply</t>
        </is>
      </c>
      <c r="P75" s="14" t="inlineStr"/>
    </row>
    <row r="76" ht="15" customHeight="1">
      <c r="A76" s="14" t="inlineStr">
        <is>
          <t>T-AUX-WT-TRIP</t>
        </is>
      </c>
      <c r="B76" s="14" t="inlineStr">
        <is>
          <t>Winding temperature trip</t>
        </is>
      </c>
      <c r="C76" s="14" t="inlineStr">
        <is>
          <t>Auxiliary transformer 100 kVA</t>
        </is>
      </c>
      <c r="D76" s="14" t="inlineStr">
        <is>
          <t>DI</t>
        </is>
      </c>
      <c r="E76" s="14" t="inlineStr">
        <is>
          <t>Normally open</t>
        </is>
      </c>
      <c r="F76" s="14" t="inlineStr">
        <is>
          <t>1</t>
        </is>
      </c>
      <c r="G76" s="14" t="inlineStr">
        <is>
          <t>-</t>
        </is>
      </c>
      <c r="H76" s="14" t="n">
        <v>2</v>
      </c>
      <c r="I76" s="14" t="inlineStr">
        <is>
          <t>R2-DI01</t>
        </is>
      </c>
      <c r="J76" s="14" t="n">
        <v>4</v>
      </c>
      <c r="K76" s="14" t="inlineStr">
        <is>
          <t>SWR</t>
        </is>
      </c>
      <c r="L76" s="14" t="inlineStr">
        <is>
          <t>SWR-DI4</t>
        </is>
      </c>
      <c r="M76" s="14" t="inlineStr">
        <is>
          <t>BMXDDI3202K</t>
        </is>
      </c>
      <c r="N76" s="14" t="n">
        <v>4</v>
      </c>
      <c r="O76" s="14" t="inlineStr">
        <is>
          <t>Dry contact, wetted 24 V DC from the panel supply</t>
        </is>
      </c>
      <c r="P76" s="14" t="inlineStr"/>
    </row>
    <row r="77" ht="15" customHeight="1">
      <c r="A77" s="14" t="inlineStr">
        <is>
          <t>T-AUX-PRD</t>
        </is>
      </c>
      <c r="B77" s="14" t="inlineStr">
        <is>
          <t>Pressure relief device operated</t>
        </is>
      </c>
      <c r="C77" s="14" t="inlineStr">
        <is>
          <t>Auxiliary transformer 100 kVA</t>
        </is>
      </c>
      <c r="D77" s="14" t="inlineStr">
        <is>
          <t>DI</t>
        </is>
      </c>
      <c r="E77" s="14" t="inlineStr">
        <is>
          <t>Normally open</t>
        </is>
      </c>
      <c r="F77" s="14" t="inlineStr">
        <is>
          <t>1</t>
        </is>
      </c>
      <c r="G77" s="14" t="inlineStr">
        <is>
          <t>-</t>
        </is>
      </c>
      <c r="H77" s="14" t="n">
        <v>2</v>
      </c>
      <c r="I77" s="14" t="inlineStr">
        <is>
          <t>R2-DI01</t>
        </is>
      </c>
      <c r="J77" s="14" t="n">
        <v>5</v>
      </c>
      <c r="K77" s="14" t="inlineStr">
        <is>
          <t>SWR</t>
        </is>
      </c>
      <c r="L77" s="14" t="inlineStr">
        <is>
          <t>SWR-DI4</t>
        </is>
      </c>
      <c r="M77" s="14" t="inlineStr">
        <is>
          <t>BMXDDI3202K</t>
        </is>
      </c>
      <c r="N77" s="14" t="n">
        <v>5</v>
      </c>
      <c r="O77" s="14" t="inlineStr">
        <is>
          <t>Dry contact, wetted 24 V DC from the panel supply</t>
        </is>
      </c>
      <c r="P77" s="14" t="inlineStr"/>
    </row>
    <row r="78" ht="15" customHeight="1">
      <c r="A78" s="14" t="inlineStr">
        <is>
          <t>T-AUX-OL-LOW</t>
        </is>
      </c>
      <c r="B78" s="14" t="inlineStr">
        <is>
          <t>Oil level low</t>
        </is>
      </c>
      <c r="C78" s="14" t="inlineStr">
        <is>
          <t>Auxiliary transformer 100 kVA</t>
        </is>
      </c>
      <c r="D78" s="14" t="inlineStr">
        <is>
          <t>DI</t>
        </is>
      </c>
      <c r="E78" s="14" t="inlineStr">
        <is>
          <t>Normally open</t>
        </is>
      </c>
      <c r="F78" s="14" t="inlineStr">
        <is>
          <t>2</t>
        </is>
      </c>
      <c r="G78" s="14" t="inlineStr">
        <is>
          <t>-</t>
        </is>
      </c>
      <c r="H78" s="14" t="n">
        <v>2</v>
      </c>
      <c r="I78" s="14" t="inlineStr">
        <is>
          <t>R2-DI01</t>
        </is>
      </c>
      <c r="J78" s="14" t="n">
        <v>6</v>
      </c>
      <c r="K78" s="14" t="inlineStr">
        <is>
          <t>SWR</t>
        </is>
      </c>
      <c r="L78" s="14" t="inlineStr">
        <is>
          <t>SWR-DI4</t>
        </is>
      </c>
      <c r="M78" s="14" t="inlineStr">
        <is>
          <t>BMXDDI3202K</t>
        </is>
      </c>
      <c r="N78" s="14" t="n">
        <v>6</v>
      </c>
      <c r="O78" s="14" t="inlineStr">
        <is>
          <t>Dry contact, wetted 24 V DC from the panel supply</t>
        </is>
      </c>
      <c r="P78" s="14" t="inlineStr"/>
    </row>
    <row r="79" ht="15" customHeight="1">
      <c r="A79" s="14" t="inlineStr">
        <is>
          <t>T-AUX-FUSE</t>
        </is>
      </c>
      <c r="B79" s="14" t="inlineStr">
        <is>
          <t>HV fuse blown (XRNT-3A striker)</t>
        </is>
      </c>
      <c r="C79" s="14" t="inlineStr">
        <is>
          <t>Auxiliary transformer 100 kVA</t>
        </is>
      </c>
      <c r="D79" s="14" t="inlineStr">
        <is>
          <t>DI</t>
        </is>
      </c>
      <c r="E79" s="14" t="inlineStr">
        <is>
          <t>Normally open</t>
        </is>
      </c>
      <c r="F79" s="14" t="inlineStr">
        <is>
          <t>1</t>
        </is>
      </c>
      <c r="G79" s="14" t="inlineStr">
        <is>
          <t>-</t>
        </is>
      </c>
      <c r="H79" s="14" t="n">
        <v>2</v>
      </c>
      <c r="I79" s="14" t="inlineStr">
        <is>
          <t>R2-DI02</t>
        </is>
      </c>
      <c r="J79" s="14" t="n">
        <v>7</v>
      </c>
      <c r="K79" s="14" t="inlineStr">
        <is>
          <t>SWR</t>
        </is>
      </c>
      <c r="L79" s="14" t="inlineStr">
        <is>
          <t>SWR-DI4</t>
        </is>
      </c>
      <c r="M79" s="14" t="inlineStr">
        <is>
          <t>BMXDDI3202K</t>
        </is>
      </c>
      <c r="N79" s="14" t="n">
        <v>7</v>
      </c>
      <c r="O79" s="14" t="inlineStr">
        <is>
          <t>Dry contact, wetted 24 V DC from the panel supply</t>
        </is>
      </c>
      <c r="P79" s="14" t="inlineStr"/>
    </row>
    <row r="80" ht="15" customHeight="1">
      <c r="A80" s="14" t="inlineStr">
        <is>
          <t>AUXLV-INC-CLSD</t>
        </is>
      </c>
      <c r="B80" s="14" t="inlineStr">
        <is>
          <t>Auxiliary LV incomer closed</t>
        </is>
      </c>
      <c r="C80" s="14" t="inlineStr">
        <is>
          <t>Auxiliary supplies and UPS</t>
        </is>
      </c>
      <c r="D80" s="14" t="inlineStr">
        <is>
          <t>DI</t>
        </is>
      </c>
      <c r="E80" s="14" t="inlineStr">
        <is>
          <t>Status</t>
        </is>
      </c>
      <c r="F80" s="14" t="inlineStr">
        <is>
          <t>Status</t>
        </is>
      </c>
      <c r="G80" s="14" t="inlineStr">
        <is>
          <t>-</t>
        </is>
      </c>
      <c r="H80" s="14" t="n">
        <v>2</v>
      </c>
      <c r="I80" s="14" t="inlineStr">
        <is>
          <t>R2-DI01</t>
        </is>
      </c>
      <c r="J80" s="14" t="n">
        <v>7</v>
      </c>
      <c r="K80" s="14" t="inlineStr">
        <is>
          <t>SWR</t>
        </is>
      </c>
      <c r="L80" s="14" t="inlineStr">
        <is>
          <t>SWR-DI4</t>
        </is>
      </c>
      <c r="M80" s="14" t="inlineStr">
        <is>
          <t>BMXDDI3202K</t>
        </is>
      </c>
      <c r="N80" s="14" t="n">
        <v>8</v>
      </c>
      <c r="O80" s="14" t="inlineStr">
        <is>
          <t>Dry contact, wetted 24 V DC from the panel supply</t>
        </is>
      </c>
      <c r="P80" s="14" t="inlineStr"/>
    </row>
    <row r="81" ht="15" customHeight="1">
      <c r="A81" s="14" t="inlineStr">
        <is>
          <t>AUXLV-INC-TRIP</t>
        </is>
      </c>
      <c r="B81" s="14" t="inlineStr">
        <is>
          <t>Auxiliary LV incomer tripped</t>
        </is>
      </c>
      <c r="C81" s="14" t="inlineStr">
        <is>
          <t>Auxiliary supplies and UPS</t>
        </is>
      </c>
      <c r="D81" s="14" t="inlineStr">
        <is>
          <t>DI</t>
        </is>
      </c>
      <c r="E81" s="14" t="inlineStr">
        <is>
          <t>Normally open</t>
        </is>
      </c>
      <c r="F81" s="14" t="inlineStr">
        <is>
          <t>2</t>
        </is>
      </c>
      <c r="G81" s="14" t="inlineStr">
        <is>
          <t>-</t>
        </is>
      </c>
      <c r="H81" s="14" t="n">
        <v>2</v>
      </c>
      <c r="I81" s="14" t="inlineStr">
        <is>
          <t>R2-DI01</t>
        </is>
      </c>
      <c r="J81" s="14" t="n">
        <v>8</v>
      </c>
      <c r="K81" s="14" t="inlineStr">
        <is>
          <t>SWR</t>
        </is>
      </c>
      <c r="L81" s="14" t="inlineStr">
        <is>
          <t>SWR-DI4</t>
        </is>
      </c>
      <c r="M81" s="14" t="inlineStr">
        <is>
          <t>BMXDDI3202K</t>
        </is>
      </c>
      <c r="N81" s="14" t="n">
        <v>9</v>
      </c>
      <c r="O81" s="14" t="inlineStr">
        <is>
          <t>Dry contact, wetted 24 V DC from the panel supply</t>
        </is>
      </c>
      <c r="P81" s="14" t="inlineStr"/>
    </row>
    <row r="82" ht="15" customHeight="1">
      <c r="A82" s="14" t="inlineStr">
        <is>
          <t>AUXLV-SPD-FLT</t>
        </is>
      </c>
      <c r="B82" s="14" t="inlineStr">
        <is>
          <t>Surge arrester failed</t>
        </is>
      </c>
      <c r="C82" s="14" t="inlineStr">
        <is>
          <t>Auxiliary supplies and UPS</t>
        </is>
      </c>
      <c r="D82" s="14" t="inlineStr">
        <is>
          <t>DI</t>
        </is>
      </c>
      <c r="E82" s="14" t="inlineStr">
        <is>
          <t>Normally open</t>
        </is>
      </c>
      <c r="F82" s="14" t="inlineStr">
        <is>
          <t>3</t>
        </is>
      </c>
      <c r="G82" s="14" t="inlineStr">
        <is>
          <t>-</t>
        </is>
      </c>
      <c r="H82" s="14" t="n">
        <v>2</v>
      </c>
      <c r="I82" s="14" t="inlineStr">
        <is>
          <t>R2-DI01</t>
        </is>
      </c>
      <c r="J82" s="14" t="n">
        <v>9</v>
      </c>
      <c r="K82" s="14" t="inlineStr">
        <is>
          <t>SWR</t>
        </is>
      </c>
      <c r="L82" s="14" t="inlineStr">
        <is>
          <t>SWR-DI4</t>
        </is>
      </c>
      <c r="M82" s="14" t="inlineStr">
        <is>
          <t>BMXDDI3202K</t>
        </is>
      </c>
      <c r="N82" s="14" t="n">
        <v>10</v>
      </c>
      <c r="O82" s="14" t="inlineStr">
        <is>
          <t>Dry contact, wetted 24 V DC from the panel supply</t>
        </is>
      </c>
      <c r="P82" s="14" t="inlineStr"/>
    </row>
    <row r="83" ht="15" customHeight="1">
      <c r="A83" s="14" t="inlineStr">
        <is>
          <t>UPS-ON-BATT</t>
        </is>
      </c>
      <c r="B83" s="14" t="inlineStr">
        <is>
          <t>UPS on battery</t>
        </is>
      </c>
      <c r="C83" s="14" t="inlineStr">
        <is>
          <t>Auxiliary supplies and UPS</t>
        </is>
      </c>
      <c r="D83" s="14" t="inlineStr">
        <is>
          <t>DI</t>
        </is>
      </c>
      <c r="E83" s="14" t="inlineStr">
        <is>
          <t>Normally open</t>
        </is>
      </c>
      <c r="F83" s="14" t="inlineStr">
        <is>
          <t>2</t>
        </is>
      </c>
      <c r="G83" s="14" t="inlineStr">
        <is>
          <t>-</t>
        </is>
      </c>
      <c r="H83" s="14" t="n">
        <v>2</v>
      </c>
      <c r="I83" s="14" t="inlineStr">
        <is>
          <t>R2-DI01</t>
        </is>
      </c>
      <c r="J83" s="14" t="n">
        <v>10</v>
      </c>
      <c r="K83" s="14" t="inlineStr">
        <is>
          <t>SWR</t>
        </is>
      </c>
      <c r="L83" s="14" t="inlineStr">
        <is>
          <t>SWR-DI4</t>
        </is>
      </c>
      <c r="M83" s="14" t="inlineStr">
        <is>
          <t>BMXDDI3202K</t>
        </is>
      </c>
      <c r="N83" s="14" t="n">
        <v>11</v>
      </c>
      <c r="O83" s="14" t="inlineStr">
        <is>
          <t>Dry contact, wetted 24 V DC from the panel supply</t>
        </is>
      </c>
      <c r="P83" s="14" t="inlineStr"/>
    </row>
    <row r="84" ht="15" customHeight="1">
      <c r="A84" s="14" t="inlineStr">
        <is>
          <t>UPS-BATT-LOW</t>
        </is>
      </c>
      <c r="B84" s="14" t="inlineStr">
        <is>
          <t>UPS battery low</t>
        </is>
      </c>
      <c r="C84" s="14" t="inlineStr">
        <is>
          <t>Auxiliary supplies and UPS</t>
        </is>
      </c>
      <c r="D84" s="14" t="inlineStr">
        <is>
          <t>DI</t>
        </is>
      </c>
      <c r="E84" s="14" t="inlineStr">
        <is>
          <t>Normally open</t>
        </is>
      </c>
      <c r="F84" s="14" t="inlineStr">
        <is>
          <t>1</t>
        </is>
      </c>
      <c r="G84" s="14" t="inlineStr">
        <is>
          <t>-</t>
        </is>
      </c>
      <c r="H84" s="14" t="n">
        <v>2</v>
      </c>
      <c r="I84" s="14" t="inlineStr">
        <is>
          <t>R2-DI01</t>
        </is>
      </c>
      <c r="J84" s="14" t="n">
        <v>11</v>
      </c>
      <c r="K84" s="14" t="inlineStr">
        <is>
          <t>SWR</t>
        </is>
      </c>
      <c r="L84" s="14" t="inlineStr">
        <is>
          <t>SWR-DI4</t>
        </is>
      </c>
      <c r="M84" s="14" t="inlineStr">
        <is>
          <t>BMXDDI3202K</t>
        </is>
      </c>
      <c r="N84" s="14" t="n">
        <v>12</v>
      </c>
      <c r="O84" s="14" t="inlineStr">
        <is>
          <t>Dry contact, wetted 24 V DC from the panel supply</t>
        </is>
      </c>
      <c r="P84" s="14" t="inlineStr"/>
    </row>
    <row r="85" ht="15" customHeight="1">
      <c r="A85" s="14" t="inlineStr">
        <is>
          <t>UPS-FLT</t>
        </is>
      </c>
      <c r="B85" s="14" t="inlineStr">
        <is>
          <t>UPS fault</t>
        </is>
      </c>
      <c r="C85" s="14" t="inlineStr">
        <is>
          <t>Auxiliary supplies and UPS</t>
        </is>
      </c>
      <c r="D85" s="14" t="inlineStr">
        <is>
          <t>DI</t>
        </is>
      </c>
      <c r="E85" s="14" t="inlineStr">
        <is>
          <t>Normally open</t>
        </is>
      </c>
      <c r="F85" s="14" t="inlineStr">
        <is>
          <t>2</t>
        </is>
      </c>
      <c r="G85" s="14" t="inlineStr">
        <is>
          <t>-</t>
        </is>
      </c>
      <c r="H85" s="14" t="n">
        <v>2</v>
      </c>
      <c r="I85" s="14" t="inlineStr">
        <is>
          <t>R2-DI01</t>
        </is>
      </c>
      <c r="J85" s="14" t="n">
        <v>12</v>
      </c>
      <c r="K85" s="14" t="inlineStr">
        <is>
          <t>SWR</t>
        </is>
      </c>
      <c r="L85" s="14" t="inlineStr">
        <is>
          <t>SWR-DI4</t>
        </is>
      </c>
      <c r="M85" s="14" t="inlineStr">
        <is>
          <t>BMXDDI3202K</t>
        </is>
      </c>
      <c r="N85" s="14" t="n">
        <v>13</v>
      </c>
      <c r="O85" s="14" t="inlineStr">
        <is>
          <t>Dry contact, wetted 24 V DC from the panel supply</t>
        </is>
      </c>
      <c r="P85" s="14" t="inlineStr"/>
    </row>
    <row r="86" ht="15" customHeight="1">
      <c r="A86" s="14" t="inlineStr">
        <is>
          <t>UPS-BYPASS</t>
        </is>
      </c>
      <c r="B86" s="14" t="inlineStr">
        <is>
          <t>UPS on bypass</t>
        </is>
      </c>
      <c r="C86" s="14" t="inlineStr">
        <is>
          <t>Auxiliary supplies and UPS</t>
        </is>
      </c>
      <c r="D86" s="14" t="inlineStr">
        <is>
          <t>DI</t>
        </is>
      </c>
      <c r="E86" s="14" t="inlineStr">
        <is>
          <t>Normally open</t>
        </is>
      </c>
      <c r="F86" s="14" t="inlineStr">
        <is>
          <t>3</t>
        </is>
      </c>
      <c r="G86" s="14" t="inlineStr">
        <is>
          <t>-</t>
        </is>
      </c>
      <c r="H86" s="14" t="n">
        <v>2</v>
      </c>
      <c r="I86" s="14" t="inlineStr">
        <is>
          <t>R2-DI01</t>
        </is>
      </c>
      <c r="J86" s="14" t="n">
        <v>13</v>
      </c>
      <c r="K86" s="14" t="inlineStr">
        <is>
          <t>SWR</t>
        </is>
      </c>
      <c r="L86" s="14" t="inlineStr">
        <is>
          <t>SWR-DI4</t>
        </is>
      </c>
      <c r="M86" s="14" t="inlineStr">
        <is>
          <t>BMXDDI3202K</t>
        </is>
      </c>
      <c r="N86" s="14" t="n">
        <v>14</v>
      </c>
      <c r="O86" s="14" t="inlineStr">
        <is>
          <t>Dry contact, wetted 24 V DC from the panel supply</t>
        </is>
      </c>
      <c r="P86" s="14" t="inlineStr"/>
    </row>
    <row r="87" ht="15" customHeight="1">
      <c r="A87" s="14" t="inlineStr">
        <is>
          <t>DC-CHG-FLT</t>
        </is>
      </c>
      <c r="B87" s="14" t="inlineStr">
        <is>
          <t>DC charger fault</t>
        </is>
      </c>
      <c r="C87" s="14" t="inlineStr">
        <is>
          <t>Auxiliary supplies and UPS</t>
        </is>
      </c>
      <c r="D87" s="14" t="inlineStr">
        <is>
          <t>DI</t>
        </is>
      </c>
      <c r="E87" s="14" t="inlineStr">
        <is>
          <t>Normally open</t>
        </is>
      </c>
      <c r="F87" s="14" t="inlineStr">
        <is>
          <t>2</t>
        </is>
      </c>
      <c r="G87" s="14" t="inlineStr">
        <is>
          <t>-</t>
        </is>
      </c>
      <c r="H87" s="14" t="n">
        <v>2</v>
      </c>
      <c r="I87" s="14" t="inlineStr">
        <is>
          <t>R2-DI01</t>
        </is>
      </c>
      <c r="J87" s="14" t="n">
        <v>14</v>
      </c>
      <c r="K87" s="14" t="inlineStr">
        <is>
          <t>SWR</t>
        </is>
      </c>
      <c r="L87" s="14" t="inlineStr">
        <is>
          <t>SWR-DI4</t>
        </is>
      </c>
      <c r="M87" s="14" t="inlineStr">
        <is>
          <t>BMXDDI3202K</t>
        </is>
      </c>
      <c r="N87" s="14" t="n">
        <v>15</v>
      </c>
      <c r="O87" s="14" t="inlineStr">
        <is>
          <t>Dry contact, wetted 24 V DC from the panel supply</t>
        </is>
      </c>
      <c r="P87" s="14" t="inlineStr"/>
    </row>
    <row r="88" ht="15" customHeight="1">
      <c r="A88" s="14" t="inlineStr">
        <is>
          <t>DC-EARTH-FLT</t>
        </is>
      </c>
      <c r="B88" s="14" t="inlineStr">
        <is>
          <t>DC earth fault</t>
        </is>
      </c>
      <c r="C88" s="14" t="inlineStr">
        <is>
          <t>Auxiliary supplies and UPS</t>
        </is>
      </c>
      <c r="D88" s="14" t="inlineStr">
        <is>
          <t>DI</t>
        </is>
      </c>
      <c r="E88" s="14" t="inlineStr">
        <is>
          <t>Normally open</t>
        </is>
      </c>
      <c r="F88" s="14" t="inlineStr">
        <is>
          <t>2</t>
        </is>
      </c>
      <c r="G88" s="14" t="inlineStr">
        <is>
          <t>-</t>
        </is>
      </c>
      <c r="H88" s="14" t="n">
        <v>2</v>
      </c>
      <c r="I88" s="14" t="inlineStr">
        <is>
          <t>R2-DI01</t>
        </is>
      </c>
      <c r="J88" s="14" t="n">
        <v>15</v>
      </c>
      <c r="K88" s="14" t="inlineStr">
        <is>
          <t>SWR</t>
        </is>
      </c>
      <c r="L88" s="14" t="inlineStr">
        <is>
          <t>SWR-DI4</t>
        </is>
      </c>
      <c r="M88" s="14" t="inlineStr">
        <is>
          <t>BMXDDI3202K</t>
        </is>
      </c>
      <c r="N88" s="14" t="n">
        <v>16</v>
      </c>
      <c r="O88" s="14" t="inlineStr">
        <is>
          <t>Dry contact, wetted 24 V DC from the panel supply</t>
        </is>
      </c>
      <c r="P88" s="14" t="inlineStr"/>
    </row>
    <row r="89" ht="15" customHeight="1">
      <c r="A89" s="14" t="inlineStr">
        <is>
          <t>DC-UV</t>
        </is>
      </c>
      <c r="B89" s="14" t="inlineStr">
        <is>
          <t>DC bus undervoltage</t>
        </is>
      </c>
      <c r="C89" s="14" t="inlineStr">
        <is>
          <t>Auxiliary supplies and UPS</t>
        </is>
      </c>
      <c r="D89" s="14" t="inlineStr">
        <is>
          <t>DI</t>
        </is>
      </c>
      <c r="E89" s="14" t="inlineStr">
        <is>
          <t>Normally open</t>
        </is>
      </c>
      <c r="F89" s="14" t="inlineStr">
        <is>
          <t>1</t>
        </is>
      </c>
      <c r="G89" s="14" t="inlineStr">
        <is>
          <t>-</t>
        </is>
      </c>
      <c r="H89" s="14" t="n">
        <v>2</v>
      </c>
      <c r="I89" s="14" t="inlineStr">
        <is>
          <t>R2-DI01</t>
        </is>
      </c>
      <c r="J89" s="14" t="n">
        <v>16</v>
      </c>
      <c r="K89" s="14" t="inlineStr">
        <is>
          <t>SWR</t>
        </is>
      </c>
      <c r="L89" s="14" t="inlineStr">
        <is>
          <t>SWR-DI4</t>
        </is>
      </c>
      <c r="M89" s="14" t="inlineStr">
        <is>
          <t>BMXDDI3202K</t>
        </is>
      </c>
      <c r="N89" s="14" t="n">
        <v>17</v>
      </c>
      <c r="O89" s="14" t="inlineStr">
        <is>
          <t>Dry contact, wetted 24 V DC from the panel supply</t>
        </is>
      </c>
      <c r="P89" s="14" t="inlineStr"/>
    </row>
    <row r="90" ht="15" customHeight="1">
      <c r="A90" s="14" t="inlineStr">
        <is>
          <t>SWR-HVAC-FLT</t>
        </is>
      </c>
      <c r="B90" s="14" t="inlineStr">
        <is>
          <t>Switchroom air conditioning fault</t>
        </is>
      </c>
      <c r="C90" s="14" t="inlineStr">
        <is>
          <t>Auxiliary supplies and UPS</t>
        </is>
      </c>
      <c r="D90" s="14" t="inlineStr">
        <is>
          <t>DI</t>
        </is>
      </c>
      <c r="E90" s="14" t="inlineStr">
        <is>
          <t>Normally open</t>
        </is>
      </c>
      <c r="F90" s="14" t="inlineStr">
        <is>
          <t>3</t>
        </is>
      </c>
      <c r="G90" s="14" t="inlineStr">
        <is>
          <t>-</t>
        </is>
      </c>
      <c r="H90" s="14" t="n">
        <v>2</v>
      </c>
      <c r="I90" s="14" t="inlineStr">
        <is>
          <t>R2-DI02</t>
        </is>
      </c>
      <c r="J90" s="14" t="n">
        <v>1</v>
      </c>
      <c r="K90" s="14" t="inlineStr">
        <is>
          <t>SWR</t>
        </is>
      </c>
      <c r="L90" s="14" t="inlineStr">
        <is>
          <t>SWR-DI4</t>
        </is>
      </c>
      <c r="M90" s="14" t="inlineStr">
        <is>
          <t>BMXDDI3202K</t>
        </is>
      </c>
      <c r="N90" s="14" t="n">
        <v>18</v>
      </c>
      <c r="O90" s="14" t="inlineStr">
        <is>
          <t>Dry contact, wetted 24 V DC from the panel supply</t>
        </is>
      </c>
      <c r="P90" s="14" t="inlineStr"/>
    </row>
    <row r="91" ht="15" customHeight="1">
      <c r="A91" s="14" t="inlineStr">
        <is>
          <t>SWR-TEMP-HI</t>
        </is>
      </c>
      <c r="B91" s="14" t="inlineStr">
        <is>
          <t>Switchroom temperature high</t>
        </is>
      </c>
      <c r="C91" s="14" t="inlineStr">
        <is>
          <t>Auxiliary supplies and UPS</t>
        </is>
      </c>
      <c r="D91" s="14" t="inlineStr">
        <is>
          <t>DI</t>
        </is>
      </c>
      <c r="E91" s="14" t="inlineStr">
        <is>
          <t>Normally open</t>
        </is>
      </c>
      <c r="F91" s="14" t="inlineStr">
        <is>
          <t>3</t>
        </is>
      </c>
      <c r="G91" s="14" t="inlineStr">
        <is>
          <t>-</t>
        </is>
      </c>
      <c r="H91" s="14" t="n">
        <v>2</v>
      </c>
      <c r="I91" s="14" t="inlineStr">
        <is>
          <t>R2-DI02</t>
        </is>
      </c>
      <c r="J91" s="14" t="n">
        <v>2</v>
      </c>
      <c r="K91" s="14" t="inlineStr">
        <is>
          <t>SWR</t>
        </is>
      </c>
      <c r="L91" s="14" t="inlineStr">
        <is>
          <t>SWR-DI4</t>
        </is>
      </c>
      <c r="M91" s="14" t="inlineStr">
        <is>
          <t>BMXDDI3202K</t>
        </is>
      </c>
      <c r="N91" s="14" t="n">
        <v>19</v>
      </c>
      <c r="O91" s="14" t="inlineStr">
        <is>
          <t>Dry contact, wetted 24 V DC from the panel supply</t>
        </is>
      </c>
      <c r="P91" s="14" t="inlineStr"/>
    </row>
    <row r="92" ht="15" customHeight="1">
      <c r="A92" s="14" t="inlineStr">
        <is>
          <t>ESTOP-SWR</t>
        </is>
      </c>
      <c r="B92" s="14" t="inlineStr">
        <is>
          <t>Plant emergency stop pressed, switchroom</t>
        </is>
      </c>
      <c r="C92" s="14" t="inlineStr">
        <is>
          <t>Emergency stops, doors and I/O panels</t>
        </is>
      </c>
      <c r="D92" s="14" t="inlineStr">
        <is>
          <t>DI</t>
        </is>
      </c>
      <c r="E92" s="14" t="inlineStr">
        <is>
          <t>Normally open</t>
        </is>
      </c>
      <c r="F92" s="14" t="inlineStr">
        <is>
          <t>1</t>
        </is>
      </c>
      <c r="G92" s="14" t="inlineStr">
        <is>
          <t>-</t>
        </is>
      </c>
      <c r="H92" s="14" t="n">
        <v>2</v>
      </c>
      <c r="I92" s="14" t="inlineStr">
        <is>
          <t>R2-DI02</t>
        </is>
      </c>
      <c r="J92" s="14" t="n">
        <v>3</v>
      </c>
      <c r="K92" s="14" t="inlineStr">
        <is>
          <t>SWR</t>
        </is>
      </c>
      <c r="L92" s="14" t="inlineStr">
        <is>
          <t>SWR-DI4</t>
        </is>
      </c>
      <c r="M92" s="14" t="inlineStr">
        <is>
          <t>BMXDDI3202K</t>
        </is>
      </c>
      <c r="N92" s="14" t="n">
        <v>20</v>
      </c>
      <c r="O92" s="14" t="inlineStr">
        <is>
          <t>Dry contact, wetted 24 V DC from the panel supply</t>
        </is>
      </c>
      <c r="P92" s="14" t="inlineStr"/>
    </row>
    <row r="93" ht="15" customHeight="1">
      <c r="A93" s="14" t="inlineStr">
        <is>
          <t>DOOR-SCADA</t>
        </is>
      </c>
      <c r="B93" s="14" t="inlineStr">
        <is>
          <t>SCADA cabinet door open</t>
        </is>
      </c>
      <c r="C93" s="14" t="inlineStr">
        <is>
          <t>Emergency stops, doors and I/O panels</t>
        </is>
      </c>
      <c r="D93" s="14" t="inlineStr">
        <is>
          <t>DI</t>
        </is>
      </c>
      <c r="E93" s="14" t="inlineStr">
        <is>
          <t>Normally open</t>
        </is>
      </c>
      <c r="F93" s="14" t="inlineStr">
        <is>
          <t>3</t>
        </is>
      </c>
      <c r="G93" s="14" t="inlineStr">
        <is>
          <t>-</t>
        </is>
      </c>
      <c r="H93" s="14" t="n">
        <v>2</v>
      </c>
      <c r="I93" s="14" t="inlineStr">
        <is>
          <t>R2-DI02</t>
        </is>
      </c>
      <c r="J93" s="14" t="n">
        <v>4</v>
      </c>
      <c r="K93" s="14" t="inlineStr">
        <is>
          <t>SWR</t>
        </is>
      </c>
      <c r="L93" s="14" t="inlineStr">
        <is>
          <t>SWR-DI4</t>
        </is>
      </c>
      <c r="M93" s="14" t="inlineStr">
        <is>
          <t>BMXDDI3202K</t>
        </is>
      </c>
      <c r="N93" s="14" t="n">
        <v>21</v>
      </c>
      <c r="O93" s="14" t="inlineStr">
        <is>
          <t>Dry contact, wetted 24 V DC from the panel supply</t>
        </is>
      </c>
      <c r="P93" s="14" t="inlineStr"/>
    </row>
    <row r="94" ht="15" customHeight="1">
      <c r="A94" s="14" t="inlineStr">
        <is>
          <t>DOOR-SWR</t>
        </is>
      </c>
      <c r="B94" s="14" t="inlineStr">
        <is>
          <t>Switchroom door open</t>
        </is>
      </c>
      <c r="C94" s="14" t="inlineStr">
        <is>
          <t>Emergency stops, doors and I/O panels</t>
        </is>
      </c>
      <c r="D94" s="14" t="inlineStr">
        <is>
          <t>DI</t>
        </is>
      </c>
      <c r="E94" s="14" t="inlineStr">
        <is>
          <t>Normally open</t>
        </is>
      </c>
      <c r="F94" s="14" t="inlineStr">
        <is>
          <t>3</t>
        </is>
      </c>
      <c r="G94" s="14" t="inlineStr">
        <is>
          <t>-</t>
        </is>
      </c>
      <c r="H94" s="14" t="n">
        <v>2</v>
      </c>
      <c r="I94" s="14" t="inlineStr">
        <is>
          <t>R2-DI02</t>
        </is>
      </c>
      <c r="J94" s="14" t="n">
        <v>5</v>
      </c>
      <c r="K94" s="14" t="inlineStr">
        <is>
          <t>SWR</t>
        </is>
      </c>
      <c r="L94" s="14" t="inlineStr">
        <is>
          <t>SWR-DI4</t>
        </is>
      </c>
      <c r="M94" s="14" t="inlineStr">
        <is>
          <t>BMXDDI3202K</t>
        </is>
      </c>
      <c r="N94" s="14" t="n">
        <v>22</v>
      </c>
      <c r="O94" s="14" t="inlineStr">
        <is>
          <t>Dry contact, wetted 24 V DC from the panel supply</t>
        </is>
      </c>
      <c r="P94" s="14" t="inlineStr"/>
    </row>
    <row r="95" ht="15" customHeight="1">
      <c r="A95" s="14" t="inlineStr">
        <is>
          <t>DOOR-GIS</t>
        </is>
      </c>
      <c r="B95" s="14" t="inlineStr">
        <is>
          <t>11 kV switchgear room door open</t>
        </is>
      </c>
      <c r="C95" s="14" t="inlineStr">
        <is>
          <t>Emergency stops, doors and I/O panels</t>
        </is>
      </c>
      <c r="D95" s="14" t="inlineStr">
        <is>
          <t>DI</t>
        </is>
      </c>
      <c r="E95" s="14" t="inlineStr">
        <is>
          <t>Normally open</t>
        </is>
      </c>
      <c r="F95" s="14" t="inlineStr">
        <is>
          <t>3</t>
        </is>
      </c>
      <c r="G95" s="14" t="inlineStr">
        <is>
          <t>-</t>
        </is>
      </c>
      <c r="H95" s="14" t="n">
        <v>2</v>
      </c>
      <c r="I95" s="14" t="inlineStr">
        <is>
          <t>R2-DI02</t>
        </is>
      </c>
      <c r="J95" s="14" t="n">
        <v>6</v>
      </c>
      <c r="K95" s="14" t="inlineStr">
        <is>
          <t>SWR</t>
        </is>
      </c>
      <c r="L95" s="14" t="inlineStr">
        <is>
          <t>SWR-DI4</t>
        </is>
      </c>
      <c r="M95" s="14" t="inlineStr">
        <is>
          <t>BMXDDI3202K</t>
        </is>
      </c>
      <c r="N95" s="14" t="n">
        <v>23</v>
      </c>
      <c r="O95" s="14" t="inlineStr">
        <is>
          <t>Dry contact, wetted 24 V DC from the panel supply</t>
        </is>
      </c>
      <c r="P95" s="14" t="inlineStr"/>
    </row>
    <row r="96" ht="15" customHeight="1">
      <c r="A96" s="14" t="inlineStr">
        <is>
          <t>AH1-CB-OPEN-CMD</t>
        </is>
      </c>
      <c r="B96" s="14" t="inlineStr">
        <is>
          <t>Open circuit breaker</t>
        </is>
      </c>
      <c r="C96" s="14" t="inlineStr">
        <is>
          <t>11 kV panel AH1, Generator incomer</t>
        </is>
      </c>
      <c r="D96" s="14" t="inlineStr">
        <is>
          <t>DO</t>
        </is>
      </c>
      <c r="E96" s="14" t="inlineStr">
        <is>
          <t>Pulse</t>
        </is>
      </c>
      <c r="F96" s="14" t="inlineStr">
        <is>
          <t>-</t>
        </is>
      </c>
      <c r="G96" s="14" t="inlineStr">
        <is>
          <t>Operator</t>
        </is>
      </c>
      <c r="H96" s="14" t="n">
        <v>1</v>
      </c>
      <c r="I96" s="14" t="inlineStr">
        <is>
          <t>R1-CO01</t>
        </is>
      </c>
      <c r="J96" s="14" t="n">
        <v>1</v>
      </c>
      <c r="K96" s="14" t="inlineStr">
        <is>
          <t>SWR</t>
        </is>
      </c>
      <c r="L96" s="14" t="inlineStr">
        <is>
          <t>SWR-DO1</t>
        </is>
      </c>
      <c r="M96" s="14" t="inlineStr">
        <is>
          <t>BMXDDO3202K</t>
        </is>
      </c>
      <c r="N96" s="14" t="n">
        <v>1</v>
      </c>
      <c r="O96" s="14" t="inlineStr">
        <is>
          <t>Interposing relay IR01, contact in the breaker or switch control circuit</t>
        </is>
      </c>
      <c r="P96" s="14" t="inlineStr">
        <is>
          <t>IR01</t>
        </is>
      </c>
    </row>
    <row r="97" ht="15" customHeight="1">
      <c r="A97" s="14" t="inlineStr">
        <is>
          <t>AH1-CB-CLOSE-CMD</t>
        </is>
      </c>
      <c r="B97" s="14" t="inlineStr">
        <is>
          <t>Close circuit breaker</t>
        </is>
      </c>
      <c r="C97" s="14" t="inlineStr">
        <is>
          <t>11 kV panel AH1, Generator incomer</t>
        </is>
      </c>
      <c r="D97" s="14" t="inlineStr">
        <is>
          <t>DO</t>
        </is>
      </c>
      <c r="E97" s="14" t="inlineStr">
        <is>
          <t>Pulse</t>
        </is>
      </c>
      <c r="F97" s="14" t="inlineStr">
        <is>
          <t>-</t>
        </is>
      </c>
      <c r="G97" s="14" t="inlineStr">
        <is>
          <t>Operator</t>
        </is>
      </c>
      <c r="H97" s="14" t="n">
        <v>1</v>
      </c>
      <c r="I97" s="14" t="inlineStr">
        <is>
          <t>R1-CO01</t>
        </is>
      </c>
      <c r="J97" s="14" t="n">
        <v>2</v>
      </c>
      <c r="K97" s="14" t="inlineStr">
        <is>
          <t>SWR</t>
        </is>
      </c>
      <c r="L97" s="14" t="inlineStr">
        <is>
          <t>SWR-DO1</t>
        </is>
      </c>
      <c r="M97" s="14" t="inlineStr">
        <is>
          <t>BMXDDO3202K</t>
        </is>
      </c>
      <c r="N97" s="14" t="n">
        <v>2</v>
      </c>
      <c r="O97" s="14" t="inlineStr">
        <is>
          <t>Interposing relay IR02, contact in the breaker or switch control circuit</t>
        </is>
      </c>
      <c r="P97" s="14" t="inlineStr">
        <is>
          <t>IR02</t>
        </is>
      </c>
    </row>
    <row r="98" ht="15" customHeight="1">
      <c r="A98" s="14" t="inlineStr">
        <is>
          <t>AH2-CB-OPEN-CMD</t>
        </is>
      </c>
      <c r="B98" s="14" t="inlineStr">
        <is>
          <t>Open circuit breaker</t>
        </is>
      </c>
      <c r="C98" s="14" t="inlineStr">
        <is>
          <t>11 kV panel AH2, PV incomer</t>
        </is>
      </c>
      <c r="D98" s="14" t="inlineStr">
        <is>
          <t>DO</t>
        </is>
      </c>
      <c r="E98" s="14" t="inlineStr">
        <is>
          <t>Pulse</t>
        </is>
      </c>
      <c r="F98" s="14" t="inlineStr">
        <is>
          <t>-</t>
        </is>
      </c>
      <c r="G98" s="14" t="inlineStr">
        <is>
          <t>Operator</t>
        </is>
      </c>
      <c r="H98" s="14" t="n">
        <v>1</v>
      </c>
      <c r="I98" s="14" t="inlineStr">
        <is>
          <t>R1-CO01</t>
        </is>
      </c>
      <c r="J98" s="14" t="n">
        <v>3</v>
      </c>
      <c r="K98" s="14" t="inlineStr">
        <is>
          <t>SWR</t>
        </is>
      </c>
      <c r="L98" s="14" t="inlineStr">
        <is>
          <t>SWR-DO1</t>
        </is>
      </c>
      <c r="M98" s="14" t="inlineStr">
        <is>
          <t>BMXDDO3202K</t>
        </is>
      </c>
      <c r="N98" s="14" t="n">
        <v>3</v>
      </c>
      <c r="O98" s="14" t="inlineStr">
        <is>
          <t>Interposing relay IR03, contact in the breaker or switch control circuit</t>
        </is>
      </c>
      <c r="P98" s="14" t="inlineStr">
        <is>
          <t>IR03</t>
        </is>
      </c>
    </row>
    <row r="99" ht="15" customHeight="1">
      <c r="A99" s="14" t="inlineStr">
        <is>
          <t>AH2-CB-CLOSE-CMD</t>
        </is>
      </c>
      <c r="B99" s="14" t="inlineStr">
        <is>
          <t>Close circuit breaker</t>
        </is>
      </c>
      <c r="C99" s="14" t="inlineStr">
        <is>
          <t>11 kV panel AH2, PV incomer</t>
        </is>
      </c>
      <c r="D99" s="14" t="inlineStr">
        <is>
          <t>DO</t>
        </is>
      </c>
      <c r="E99" s="14" t="inlineStr">
        <is>
          <t>Pulse</t>
        </is>
      </c>
      <c r="F99" s="14" t="inlineStr">
        <is>
          <t>-</t>
        </is>
      </c>
      <c r="G99" s="14" t="inlineStr">
        <is>
          <t>Operator</t>
        </is>
      </c>
      <c r="H99" s="14" t="n">
        <v>1</v>
      </c>
      <c r="I99" s="14" t="inlineStr">
        <is>
          <t>R1-CO01</t>
        </is>
      </c>
      <c r="J99" s="14" t="n">
        <v>4</v>
      </c>
      <c r="K99" s="14" t="inlineStr">
        <is>
          <t>SWR</t>
        </is>
      </c>
      <c r="L99" s="14" t="inlineStr">
        <is>
          <t>SWR-DO1</t>
        </is>
      </c>
      <c r="M99" s="14" t="inlineStr">
        <is>
          <t>BMXDDO3202K</t>
        </is>
      </c>
      <c r="N99" s="14" t="n">
        <v>4</v>
      </c>
      <c r="O99" s="14" t="inlineStr">
        <is>
          <t>Interposing relay IR04, contact in the breaker or switch control circuit</t>
        </is>
      </c>
      <c r="P99" s="14" t="inlineStr">
        <is>
          <t>IR04</t>
        </is>
      </c>
    </row>
    <row r="100" ht="15" customHeight="1">
      <c r="A100" s="14" t="inlineStr">
        <is>
          <t>AH3-CB-OPEN-CMD</t>
        </is>
      </c>
      <c r="B100" s="14" t="inlineStr">
        <is>
          <t>Open circuit breaker</t>
        </is>
      </c>
      <c r="C100" s="14" t="inlineStr">
        <is>
          <t>11 kV panel AH3, BESS incomer</t>
        </is>
      </c>
      <c r="D100" s="14" t="inlineStr">
        <is>
          <t>DO</t>
        </is>
      </c>
      <c r="E100" s="14" t="inlineStr">
        <is>
          <t>Pulse</t>
        </is>
      </c>
      <c r="F100" s="14" t="inlineStr">
        <is>
          <t>-</t>
        </is>
      </c>
      <c r="G100" s="14" t="inlineStr">
        <is>
          <t>Operator</t>
        </is>
      </c>
      <c r="H100" s="14" t="n">
        <v>1</v>
      </c>
      <c r="I100" s="14" t="inlineStr">
        <is>
          <t>R1-CO01</t>
        </is>
      </c>
      <c r="J100" s="14" t="n">
        <v>5</v>
      </c>
      <c r="K100" s="14" t="inlineStr">
        <is>
          <t>SWR</t>
        </is>
      </c>
      <c r="L100" s="14" t="inlineStr">
        <is>
          <t>SWR-DO1</t>
        </is>
      </c>
      <c r="M100" s="14" t="inlineStr">
        <is>
          <t>BMXDDO3202K</t>
        </is>
      </c>
      <c r="N100" s="14" t="n">
        <v>5</v>
      </c>
      <c r="O100" s="14" t="inlineStr">
        <is>
          <t>Interposing relay IR05, contact in the breaker or switch control circuit</t>
        </is>
      </c>
      <c r="P100" s="14" t="inlineStr">
        <is>
          <t>IR05</t>
        </is>
      </c>
    </row>
    <row r="101" ht="15" customHeight="1">
      <c r="A101" s="14" t="inlineStr">
        <is>
          <t>AH3-CB-CLOSE-CMD</t>
        </is>
      </c>
      <c r="B101" s="14" t="inlineStr">
        <is>
          <t>Close circuit breaker</t>
        </is>
      </c>
      <c r="C101" s="14" t="inlineStr">
        <is>
          <t>11 kV panel AH3, BESS incomer</t>
        </is>
      </c>
      <c r="D101" s="14" t="inlineStr">
        <is>
          <t>DO</t>
        </is>
      </c>
      <c r="E101" s="14" t="inlineStr">
        <is>
          <t>Pulse</t>
        </is>
      </c>
      <c r="F101" s="14" t="inlineStr">
        <is>
          <t>-</t>
        </is>
      </c>
      <c r="G101" s="14" t="inlineStr">
        <is>
          <t>Operator</t>
        </is>
      </c>
      <c r="H101" s="14" t="n">
        <v>1</v>
      </c>
      <c r="I101" s="14" t="inlineStr">
        <is>
          <t>R1-CO01</t>
        </is>
      </c>
      <c r="J101" s="14" t="n">
        <v>6</v>
      </c>
      <c r="K101" s="14" t="inlineStr">
        <is>
          <t>SWR</t>
        </is>
      </c>
      <c r="L101" s="14" t="inlineStr">
        <is>
          <t>SWR-DO1</t>
        </is>
      </c>
      <c r="M101" s="14" t="inlineStr">
        <is>
          <t>BMXDDO3202K</t>
        </is>
      </c>
      <c r="N101" s="14" t="n">
        <v>6</v>
      </c>
      <c r="O101" s="14" t="inlineStr">
        <is>
          <t>Interposing relay IR06, contact in the breaker or switch control circuit</t>
        </is>
      </c>
      <c r="P101" s="14" t="inlineStr">
        <is>
          <t>IR06</t>
        </is>
      </c>
    </row>
    <row r="102" ht="15" customHeight="1">
      <c r="A102" s="14" t="inlineStr">
        <is>
          <t>AH4-CB-OPEN-CMD</t>
        </is>
      </c>
      <c r="B102" s="14" t="inlineStr">
        <is>
          <t>Open circuit breaker</t>
        </is>
      </c>
      <c r="C102" s="14" t="inlineStr">
        <is>
          <t>11 kV panel AH4, President feeder</t>
        </is>
      </c>
      <c r="D102" s="14" t="inlineStr">
        <is>
          <t>DO</t>
        </is>
      </c>
      <c r="E102" s="14" t="inlineStr">
        <is>
          <t>Pulse</t>
        </is>
      </c>
      <c r="F102" s="14" t="inlineStr">
        <is>
          <t>-</t>
        </is>
      </c>
      <c r="G102" s="14" t="inlineStr">
        <is>
          <t>Operator</t>
        </is>
      </c>
      <c r="H102" s="14" t="n">
        <v>1</v>
      </c>
      <c r="I102" s="14" t="inlineStr">
        <is>
          <t>R1-CO01</t>
        </is>
      </c>
      <c r="J102" s="14" t="n">
        <v>7</v>
      </c>
      <c r="K102" s="14" t="inlineStr">
        <is>
          <t>SWR</t>
        </is>
      </c>
      <c r="L102" s="14" t="inlineStr">
        <is>
          <t>SWR-DO1</t>
        </is>
      </c>
      <c r="M102" s="14" t="inlineStr">
        <is>
          <t>BMXDDO3202K</t>
        </is>
      </c>
      <c r="N102" s="14" t="n">
        <v>7</v>
      </c>
      <c r="O102" s="14" t="inlineStr">
        <is>
          <t>Interposing relay IR07, contact in the breaker or switch control circuit</t>
        </is>
      </c>
      <c r="P102" s="14" t="inlineStr">
        <is>
          <t>IR07</t>
        </is>
      </c>
    </row>
    <row r="103" ht="15" customHeight="1">
      <c r="A103" s="14" t="inlineStr">
        <is>
          <t>AH4-CB-CLOSE-CMD</t>
        </is>
      </c>
      <c r="B103" s="14" t="inlineStr">
        <is>
          <t>Close circuit breaker</t>
        </is>
      </c>
      <c r="C103" s="14" t="inlineStr">
        <is>
          <t>11 kV panel AH4, President feeder</t>
        </is>
      </c>
      <c r="D103" s="14" t="inlineStr">
        <is>
          <t>DO</t>
        </is>
      </c>
      <c r="E103" s="14" t="inlineStr">
        <is>
          <t>Pulse</t>
        </is>
      </c>
      <c r="F103" s="14" t="inlineStr">
        <is>
          <t>-</t>
        </is>
      </c>
      <c r="G103" s="14" t="inlineStr">
        <is>
          <t>Operator</t>
        </is>
      </c>
      <c r="H103" s="14" t="n">
        <v>1</v>
      </c>
      <c r="I103" s="14" t="inlineStr">
        <is>
          <t>R1-CO01</t>
        </is>
      </c>
      <c r="J103" s="14" t="n">
        <v>8</v>
      </c>
      <c r="K103" s="14" t="inlineStr">
        <is>
          <t>SWR</t>
        </is>
      </c>
      <c r="L103" s="14" t="inlineStr">
        <is>
          <t>SWR-DO1</t>
        </is>
      </c>
      <c r="M103" s="14" t="inlineStr">
        <is>
          <t>BMXDDO3202K</t>
        </is>
      </c>
      <c r="N103" s="14" t="n">
        <v>8</v>
      </c>
      <c r="O103" s="14" t="inlineStr">
        <is>
          <t>Interposing relay IR08, contact in the breaker or switch control circuit</t>
        </is>
      </c>
      <c r="P103" s="14" t="inlineStr">
        <is>
          <t>IR08</t>
        </is>
      </c>
    </row>
    <row r="104" ht="15" customHeight="1">
      <c r="A104" s="14" t="inlineStr">
        <is>
          <t>AH5-CB-OPEN-CMD</t>
        </is>
      </c>
      <c r="B104" s="14" t="inlineStr">
        <is>
          <t>Open circuit breaker</t>
        </is>
      </c>
      <c r="C104" s="14" t="inlineStr">
        <is>
          <t>11 kV panel AH5, Auxiliary transformer feeder</t>
        </is>
      </c>
      <c r="D104" s="14" t="inlineStr">
        <is>
          <t>DO</t>
        </is>
      </c>
      <c r="E104" s="14" t="inlineStr">
        <is>
          <t>Pulse</t>
        </is>
      </c>
      <c r="F104" s="14" t="inlineStr">
        <is>
          <t>-</t>
        </is>
      </c>
      <c r="G104" s="14" t="inlineStr">
        <is>
          <t>Operator</t>
        </is>
      </c>
      <c r="H104" s="14" t="n">
        <v>1</v>
      </c>
      <c r="I104" s="14" t="inlineStr">
        <is>
          <t>R1-CO01</t>
        </is>
      </c>
      <c r="J104" s="14" t="n">
        <v>9</v>
      </c>
      <c r="K104" s="14" t="inlineStr">
        <is>
          <t>SWR</t>
        </is>
      </c>
      <c r="L104" s="14" t="inlineStr">
        <is>
          <t>SWR-DO1</t>
        </is>
      </c>
      <c r="M104" s="14" t="inlineStr">
        <is>
          <t>BMXDDO3202K</t>
        </is>
      </c>
      <c r="N104" s="14" t="n">
        <v>9</v>
      </c>
      <c r="O104" s="14" t="inlineStr">
        <is>
          <t>Interposing relay IR09, contact in the breaker or switch control circuit</t>
        </is>
      </c>
      <c r="P104" s="14" t="inlineStr">
        <is>
          <t>IR09</t>
        </is>
      </c>
    </row>
    <row r="105" ht="15" customHeight="1">
      <c r="A105" s="14" t="inlineStr">
        <is>
          <t>AH5-CB-CLOSE-CMD</t>
        </is>
      </c>
      <c r="B105" s="14" t="inlineStr">
        <is>
          <t>Close circuit breaker</t>
        </is>
      </c>
      <c r="C105" s="14" t="inlineStr">
        <is>
          <t>11 kV panel AH5, Auxiliary transformer feeder</t>
        </is>
      </c>
      <c r="D105" s="14" t="inlineStr">
        <is>
          <t>DO</t>
        </is>
      </c>
      <c r="E105" s="14" t="inlineStr">
        <is>
          <t>Pulse</t>
        </is>
      </c>
      <c r="F105" s="14" t="inlineStr">
        <is>
          <t>-</t>
        </is>
      </c>
      <c r="G105" s="14" t="inlineStr">
        <is>
          <t>Operator</t>
        </is>
      </c>
      <c r="H105" s="14" t="n">
        <v>1</v>
      </c>
      <c r="I105" s="14" t="inlineStr">
        <is>
          <t>R1-CO01</t>
        </is>
      </c>
      <c r="J105" s="14" t="n">
        <v>10</v>
      </c>
      <c r="K105" s="14" t="inlineStr">
        <is>
          <t>SWR</t>
        </is>
      </c>
      <c r="L105" s="14" t="inlineStr">
        <is>
          <t>SWR-DO1</t>
        </is>
      </c>
      <c r="M105" s="14" t="inlineStr">
        <is>
          <t>BMXDDO3202K</t>
        </is>
      </c>
      <c r="N105" s="14" t="n">
        <v>10</v>
      </c>
      <c r="O105" s="14" t="inlineStr">
        <is>
          <t>Interposing relay IR10, contact in the breaker or switch control circuit</t>
        </is>
      </c>
      <c r="P105" s="14" t="inlineStr">
        <is>
          <t>IR10</t>
        </is>
      </c>
    </row>
    <row r="106" ht="15" customHeight="1">
      <c r="A106" s="14" t="inlineStr">
        <is>
          <t>AH6-CB-OPEN-CMD</t>
        </is>
      </c>
      <c r="B106" s="14" t="inlineStr">
        <is>
          <t>Open circuit breaker</t>
        </is>
      </c>
      <c r="C106" s="14" t="inlineStr">
        <is>
          <t>11 kV panel AH6, Prime Minister feeder</t>
        </is>
      </c>
      <c r="D106" s="14" t="inlineStr">
        <is>
          <t>DO</t>
        </is>
      </c>
      <c r="E106" s="14" t="inlineStr">
        <is>
          <t>Pulse</t>
        </is>
      </c>
      <c r="F106" s="14" t="inlineStr">
        <is>
          <t>-</t>
        </is>
      </c>
      <c r="G106" s="14" t="inlineStr">
        <is>
          <t>Operator</t>
        </is>
      </c>
      <c r="H106" s="14" t="n">
        <v>1</v>
      </c>
      <c r="I106" s="14" t="inlineStr">
        <is>
          <t>R1-CO01</t>
        </is>
      </c>
      <c r="J106" s="14" t="n">
        <v>11</v>
      </c>
      <c r="K106" s="14" t="inlineStr">
        <is>
          <t>SWR</t>
        </is>
      </c>
      <c r="L106" s="14" t="inlineStr">
        <is>
          <t>SWR-DO1</t>
        </is>
      </c>
      <c r="M106" s="14" t="inlineStr">
        <is>
          <t>BMXDDO3202K</t>
        </is>
      </c>
      <c r="N106" s="14" t="n">
        <v>11</v>
      </c>
      <c r="O106" s="14" t="inlineStr">
        <is>
          <t>Interposing relay IR11, contact in the breaker or switch control circuit</t>
        </is>
      </c>
      <c r="P106" s="14" t="inlineStr">
        <is>
          <t>IR11</t>
        </is>
      </c>
    </row>
    <row r="107" ht="15" customHeight="1">
      <c r="A107" s="14" t="inlineStr">
        <is>
          <t>AH6-CB-CLOSE-CMD</t>
        </is>
      </c>
      <c r="B107" s="14" t="inlineStr">
        <is>
          <t>Close circuit breaker</t>
        </is>
      </c>
      <c r="C107" s="14" t="inlineStr">
        <is>
          <t>11 kV panel AH6, Prime Minister feeder</t>
        </is>
      </c>
      <c r="D107" s="14" t="inlineStr">
        <is>
          <t>DO</t>
        </is>
      </c>
      <c r="E107" s="14" t="inlineStr">
        <is>
          <t>Pulse</t>
        </is>
      </c>
      <c r="F107" s="14" t="inlineStr">
        <is>
          <t>-</t>
        </is>
      </c>
      <c r="G107" s="14" t="inlineStr">
        <is>
          <t>Operator</t>
        </is>
      </c>
      <c r="H107" s="14" t="n">
        <v>1</v>
      </c>
      <c r="I107" s="14" t="inlineStr">
        <is>
          <t>R1-CO01</t>
        </is>
      </c>
      <c r="J107" s="14" t="n">
        <v>12</v>
      </c>
      <c r="K107" s="14" t="inlineStr">
        <is>
          <t>SWR</t>
        </is>
      </c>
      <c r="L107" s="14" t="inlineStr">
        <is>
          <t>SWR-DO1</t>
        </is>
      </c>
      <c r="M107" s="14" t="inlineStr">
        <is>
          <t>BMXDDO3202K</t>
        </is>
      </c>
      <c r="N107" s="14" t="n">
        <v>12</v>
      </c>
      <c r="O107" s="14" t="inlineStr">
        <is>
          <t>Interposing relay IR12, contact in the breaker or switch control circuit</t>
        </is>
      </c>
      <c r="P107" s="14" t="inlineStr">
        <is>
          <t>IR12</t>
        </is>
      </c>
    </row>
    <row r="108" ht="15" customHeight="1">
      <c r="A108" s="14" t="inlineStr">
        <is>
          <t>AH7-CB-OPEN-CMD</t>
        </is>
      </c>
      <c r="B108" s="14" t="inlineStr">
        <is>
          <t>Open circuit breaker</t>
        </is>
      </c>
      <c r="C108" s="14" t="inlineStr">
        <is>
          <t>11 kV panel AH7, Spare feeder</t>
        </is>
      </c>
      <c r="D108" s="14" t="inlineStr">
        <is>
          <t>DO</t>
        </is>
      </c>
      <c r="E108" s="14" t="inlineStr">
        <is>
          <t>Pulse</t>
        </is>
      </c>
      <c r="F108" s="14" t="inlineStr">
        <is>
          <t>-</t>
        </is>
      </c>
      <c r="G108" s="14" t="inlineStr">
        <is>
          <t>Operator</t>
        </is>
      </c>
      <c r="H108" s="14" t="n">
        <v>1</v>
      </c>
      <c r="I108" s="14" t="inlineStr">
        <is>
          <t>R1-CO02</t>
        </is>
      </c>
      <c r="J108" s="14" t="n">
        <v>1</v>
      </c>
      <c r="K108" s="14" t="inlineStr">
        <is>
          <t>SWR</t>
        </is>
      </c>
      <c r="L108" s="14" t="inlineStr">
        <is>
          <t>SWR-DO1</t>
        </is>
      </c>
      <c r="M108" s="14" t="inlineStr">
        <is>
          <t>BMXDDO3202K</t>
        </is>
      </c>
      <c r="N108" s="14" t="n">
        <v>13</v>
      </c>
      <c r="O108" s="14" t="inlineStr">
        <is>
          <t>Interposing relay IR13, contact in the breaker or switch control circuit</t>
        </is>
      </c>
      <c r="P108" s="14" t="inlineStr">
        <is>
          <t>IR13</t>
        </is>
      </c>
    </row>
    <row r="109" ht="15" customHeight="1">
      <c r="A109" s="14" t="inlineStr">
        <is>
          <t>AH7-CB-CLOSE-CMD</t>
        </is>
      </c>
      <c r="B109" s="14" t="inlineStr">
        <is>
          <t>Close circuit breaker</t>
        </is>
      </c>
      <c r="C109" s="14" t="inlineStr">
        <is>
          <t>11 kV panel AH7, Spare feeder</t>
        </is>
      </c>
      <c r="D109" s="14" t="inlineStr">
        <is>
          <t>DO</t>
        </is>
      </c>
      <c r="E109" s="14" t="inlineStr">
        <is>
          <t>Pulse</t>
        </is>
      </c>
      <c r="F109" s="14" t="inlineStr">
        <is>
          <t>-</t>
        </is>
      </c>
      <c r="G109" s="14" t="inlineStr">
        <is>
          <t>Operator</t>
        </is>
      </c>
      <c r="H109" s="14" t="n">
        <v>1</v>
      </c>
      <c r="I109" s="14" t="inlineStr">
        <is>
          <t>R1-CO02</t>
        </is>
      </c>
      <c r="J109" s="14" t="n">
        <v>2</v>
      </c>
      <c r="K109" s="14" t="inlineStr">
        <is>
          <t>SWR</t>
        </is>
      </c>
      <c r="L109" s="14" t="inlineStr">
        <is>
          <t>SWR-DO1</t>
        </is>
      </c>
      <c r="M109" s="14" t="inlineStr">
        <is>
          <t>BMXDDO3202K</t>
        </is>
      </c>
      <c r="N109" s="14" t="n">
        <v>14</v>
      </c>
      <c r="O109" s="14" t="inlineStr">
        <is>
          <t>Interposing relay IR14, contact in the breaker or switch control circuit</t>
        </is>
      </c>
      <c r="P109" s="14" t="inlineStr">
        <is>
          <t>IR14</t>
        </is>
      </c>
    </row>
    <row r="110" ht="15" customHeight="1">
      <c r="A110" s="14" t="inlineStr">
        <is>
          <t>SYS-BEACON</t>
        </is>
      </c>
      <c r="B110" s="14" t="inlineStr">
        <is>
          <t>Critical alarm beacon and sounder</t>
        </is>
      </c>
      <c r="C110" s="14" t="inlineStr">
        <is>
          <t>Control room alarm beacon</t>
        </is>
      </c>
      <c r="D110" s="14" t="inlineStr">
        <is>
          <t>DO</t>
        </is>
      </c>
      <c r="E110" s="14" t="inlineStr">
        <is>
          <t>De-energised</t>
        </is>
      </c>
      <c r="F110" s="14" t="inlineStr">
        <is>
          <t>-</t>
        </is>
      </c>
      <c r="G110" s="14" t="inlineStr">
        <is>
          <t>Automatic</t>
        </is>
      </c>
      <c r="H110" s="14" t="n">
        <v>1</v>
      </c>
      <c r="I110" s="14" t="inlineStr">
        <is>
          <t>R1-DO01</t>
        </is>
      </c>
      <c r="J110" s="14" t="n">
        <v>1</v>
      </c>
      <c r="K110" s="14" t="inlineStr">
        <is>
          <t>SWR</t>
        </is>
      </c>
      <c r="L110" s="14" t="inlineStr">
        <is>
          <t>SWR-DO1</t>
        </is>
      </c>
      <c r="M110" s="14" t="inlineStr">
        <is>
          <t>BMXDDO3202K</t>
        </is>
      </c>
      <c r="N110" s="14" t="n">
        <v>17</v>
      </c>
      <c r="O110" s="14" t="inlineStr">
        <is>
          <t>Interposing relay IR15, contact in the beacon or watchdog control circuit</t>
        </is>
      </c>
      <c r="P110" s="14" t="inlineStr">
        <is>
          <t>IR15</t>
        </is>
      </c>
    </row>
    <row r="111" ht="15" customHeight="1">
      <c r="A111" s="14" t="inlineStr">
        <is>
          <t>SYS-CP-HEALTHY</t>
        </is>
      </c>
      <c r="B111" s="14" t="inlineStr">
        <is>
          <t>Controller healthy output (watchdog)</t>
        </is>
      </c>
      <c r="C111" s="14" t="inlineStr">
        <is>
          <t>SICAM CP-8050</t>
        </is>
      </c>
      <c r="D111" s="14" t="inlineStr">
        <is>
          <t>DO</t>
        </is>
      </c>
      <c r="E111" s="14" t="inlineStr">
        <is>
          <t>Energised</t>
        </is>
      </c>
      <c r="F111" s="14" t="inlineStr">
        <is>
          <t>-</t>
        </is>
      </c>
      <c r="G111" s="14" t="inlineStr">
        <is>
          <t>Automatic</t>
        </is>
      </c>
      <c r="H111" s="14" t="n">
        <v>1</v>
      </c>
      <c r="I111" s="14" t="inlineStr">
        <is>
          <t>R1-DO01</t>
        </is>
      </c>
      <c r="J111" s="14" t="n">
        <v>2</v>
      </c>
      <c r="K111" s="14" t="inlineStr">
        <is>
          <t>SWR</t>
        </is>
      </c>
      <c r="L111" s="14" t="inlineStr">
        <is>
          <t>SWR-DO1</t>
        </is>
      </c>
      <c r="M111" s="14" t="inlineStr">
        <is>
          <t>BMXDDO3202K</t>
        </is>
      </c>
      <c r="N111" s="14" t="n">
        <v>18</v>
      </c>
      <c r="O111" s="14" t="inlineStr">
        <is>
          <t>Interposing relay IR16, contact in the beacon or watchdog control circuit</t>
        </is>
      </c>
      <c r="P111" s="14" t="inlineStr">
        <is>
          <t>IR16</t>
        </is>
      </c>
    </row>
    <row r="112" ht="15" customHeight="1">
      <c r="A112" s="14" t="inlineStr">
        <is>
          <t>DC-110-V</t>
        </is>
      </c>
      <c r="B112" s="14" t="inlineStr">
        <is>
          <t>110 V DC bus voltage</t>
        </is>
      </c>
      <c r="C112" s="14" t="inlineStr">
        <is>
          <t>Auxiliary supplies and UPS</t>
        </is>
      </c>
      <c r="D112" s="14" t="inlineStr">
        <is>
          <t>AI</t>
        </is>
      </c>
      <c r="E112" s="14" t="inlineStr">
        <is>
          <t>4-20 mA = 0-150 V</t>
        </is>
      </c>
      <c r="F112" s="14" t="inlineStr">
        <is>
          <t>2 outside limits</t>
        </is>
      </c>
      <c r="G112" s="14" t="inlineStr">
        <is>
          <t>-</t>
        </is>
      </c>
      <c r="H112" s="14" t="n">
        <v>2</v>
      </c>
      <c r="I112" s="14" t="inlineStr">
        <is>
          <t>R2-AI01</t>
        </is>
      </c>
      <c r="J112" s="14" t="n">
        <v>1</v>
      </c>
      <c r="K112" s="14" t="inlineStr">
        <is>
          <t>SWR</t>
        </is>
      </c>
      <c r="L112" s="14" t="inlineStr">
        <is>
          <t>SWR-AI1</t>
        </is>
      </c>
      <c r="M112" s="14" t="inlineStr">
        <is>
          <t>BMXAMI0410</t>
        </is>
      </c>
      <c r="N112" s="14" t="n">
        <v>1</v>
      </c>
      <c r="O112" s="14" t="inlineStr">
        <is>
          <t>4-20 mA, 4-20 mA = 0-150 V</t>
        </is>
      </c>
      <c r="P112" s="14" t="inlineStr"/>
    </row>
    <row r="113" ht="15" customHeight="1">
      <c r="A113" s="14" t="inlineStr">
        <is>
          <t>DC-24-V</t>
        </is>
      </c>
      <c r="B113" s="14" t="inlineStr">
        <is>
          <t>24 V DC bus voltage</t>
        </is>
      </c>
      <c r="C113" s="14" t="inlineStr">
        <is>
          <t>Auxiliary supplies and UPS</t>
        </is>
      </c>
      <c r="D113" s="14" t="inlineStr">
        <is>
          <t>AI</t>
        </is>
      </c>
      <c r="E113" s="14" t="inlineStr">
        <is>
          <t>4-20 mA = 0-36 V</t>
        </is>
      </c>
      <c r="F113" s="14" t="inlineStr">
        <is>
          <t>2 outside limits</t>
        </is>
      </c>
      <c r="G113" s="14" t="inlineStr">
        <is>
          <t>-</t>
        </is>
      </c>
      <c r="H113" s="14" t="n">
        <v>2</v>
      </c>
      <c r="I113" s="14" t="inlineStr">
        <is>
          <t>R2-AI01</t>
        </is>
      </c>
      <c r="J113" s="14" t="n">
        <v>2</v>
      </c>
      <c r="K113" s="14" t="inlineStr">
        <is>
          <t>SWR</t>
        </is>
      </c>
      <c r="L113" s="14" t="inlineStr">
        <is>
          <t>SWR-AI1</t>
        </is>
      </c>
      <c r="M113" s="14" t="inlineStr">
        <is>
          <t>BMXAMI0410</t>
        </is>
      </c>
      <c r="N113" s="14" t="n">
        <v>2</v>
      </c>
      <c r="O113" s="14" t="inlineStr">
        <is>
          <t>4-20 mA, 4-20 mA = 0-36 V</t>
        </is>
      </c>
      <c r="P113" s="14" t="inlineStr"/>
    </row>
    <row r="114" ht="15" customHeight="1">
      <c r="A114" s="14" t="inlineStr">
        <is>
          <t>PRS-RS1-OPEN</t>
        </is>
      </c>
      <c r="B114" s="14" t="inlineStr">
        <is>
          <t>Ring switch 1 open</t>
        </is>
      </c>
      <c r="C114" s="14" t="inlineStr">
        <is>
          <t>President station RMU</t>
        </is>
      </c>
      <c r="D114" s="14" t="inlineStr">
        <is>
          <t>DI</t>
        </is>
      </c>
      <c r="E114" s="14" t="inlineStr">
        <is>
          <t>Status</t>
        </is>
      </c>
      <c r="F114" s="14" t="inlineStr">
        <is>
          <t>Status</t>
        </is>
      </c>
      <c r="G114" s="14" t="inlineStr">
        <is>
          <t>-</t>
        </is>
      </c>
      <c r="H114" s="14" t="n">
        <v>3</v>
      </c>
      <c r="I114" s="14" t="inlineStr">
        <is>
          <t>R3-DI01</t>
        </is>
      </c>
      <c r="J114" s="14" t="n">
        <v>1</v>
      </c>
      <c r="K114" s="14" t="inlineStr">
        <is>
          <t>PRS</t>
        </is>
      </c>
      <c r="L114" s="14" t="inlineStr">
        <is>
          <t>PRS-DI1</t>
        </is>
      </c>
      <c r="M114" s="14" t="inlineStr">
        <is>
          <t>NTSDDI1602XK</t>
        </is>
      </c>
      <c r="N114" s="14" t="n">
        <v>1</v>
      </c>
      <c r="O114" s="14" t="inlineStr">
        <is>
          <t>Dry contact, wetted 24 V DC from the panel supply</t>
        </is>
      </c>
      <c r="P114" s="14" t="inlineStr"/>
    </row>
    <row r="115" ht="15" customHeight="1">
      <c r="A115" s="14" t="inlineStr">
        <is>
          <t>PRS-RS1-CLSD</t>
        </is>
      </c>
      <c r="B115" s="14" t="inlineStr">
        <is>
          <t>Ring switch 1 closed</t>
        </is>
      </c>
      <c r="C115" s="14" t="inlineStr">
        <is>
          <t>President station RMU</t>
        </is>
      </c>
      <c r="D115" s="14" t="inlineStr">
        <is>
          <t>DI</t>
        </is>
      </c>
      <c r="E115" s="14" t="inlineStr">
        <is>
          <t>Status</t>
        </is>
      </c>
      <c r="F115" s="14" t="inlineStr">
        <is>
          <t>Status</t>
        </is>
      </c>
      <c r="G115" s="14" t="inlineStr">
        <is>
          <t>-</t>
        </is>
      </c>
      <c r="H115" s="14" t="n">
        <v>3</v>
      </c>
      <c r="I115" s="14" t="inlineStr">
        <is>
          <t>R3-DI01</t>
        </is>
      </c>
      <c r="J115" s="14" t="n">
        <v>2</v>
      </c>
      <c r="K115" s="14" t="inlineStr">
        <is>
          <t>PRS</t>
        </is>
      </c>
      <c r="L115" s="14" t="inlineStr">
        <is>
          <t>PRS-DI1</t>
        </is>
      </c>
      <c r="M115" s="14" t="inlineStr">
        <is>
          <t>NTSDDI1602XK</t>
        </is>
      </c>
      <c r="N115" s="14" t="n">
        <v>2</v>
      </c>
      <c r="O115" s="14" t="inlineStr">
        <is>
          <t>Dry contact, wetted 24 V DC from the panel supply</t>
        </is>
      </c>
      <c r="P115" s="14" t="inlineStr"/>
    </row>
    <row r="116" ht="15" customHeight="1">
      <c r="A116" s="14" t="inlineStr">
        <is>
          <t>PRS-RS1-ES</t>
        </is>
      </c>
      <c r="B116" s="14" t="inlineStr">
        <is>
          <t>Ring switch 1 earth switch closed</t>
        </is>
      </c>
      <c r="C116" s="14" t="inlineStr">
        <is>
          <t>President station RMU</t>
        </is>
      </c>
      <c r="D116" s="14" t="inlineStr">
        <is>
          <t>DI</t>
        </is>
      </c>
      <c r="E116" s="14" t="inlineStr">
        <is>
          <t>Status</t>
        </is>
      </c>
      <c r="F116" s="14" t="inlineStr">
        <is>
          <t>Status</t>
        </is>
      </c>
      <c r="G116" s="14" t="inlineStr">
        <is>
          <t>-</t>
        </is>
      </c>
      <c r="H116" s="14" t="n">
        <v>3</v>
      </c>
      <c r="I116" s="14" t="inlineStr">
        <is>
          <t>R3-DI01</t>
        </is>
      </c>
      <c r="J116" s="14" t="n">
        <v>3</v>
      </c>
      <c r="K116" s="14" t="inlineStr">
        <is>
          <t>PRS</t>
        </is>
      </c>
      <c r="L116" s="14" t="inlineStr">
        <is>
          <t>PRS-DI1</t>
        </is>
      </c>
      <c r="M116" s="14" t="inlineStr">
        <is>
          <t>NTSDDI1602XK</t>
        </is>
      </c>
      <c r="N116" s="14" t="n">
        <v>3</v>
      </c>
      <c r="O116" s="14" t="inlineStr">
        <is>
          <t>Dry contact, wetted 24 V DC from the panel supply</t>
        </is>
      </c>
      <c r="P116" s="14" t="inlineStr"/>
    </row>
    <row r="117" ht="15" customHeight="1">
      <c r="A117" s="14" t="inlineStr">
        <is>
          <t>PRS-RS2-OPEN</t>
        </is>
      </c>
      <c r="B117" s="14" t="inlineStr">
        <is>
          <t>Ring switch 2 open</t>
        </is>
      </c>
      <c r="C117" s="14" t="inlineStr">
        <is>
          <t>President station RMU</t>
        </is>
      </c>
      <c r="D117" s="14" t="inlineStr">
        <is>
          <t>DI</t>
        </is>
      </c>
      <c r="E117" s="14" t="inlineStr">
        <is>
          <t>Status</t>
        </is>
      </c>
      <c r="F117" s="14" t="inlineStr">
        <is>
          <t>Status</t>
        </is>
      </c>
      <c r="G117" s="14" t="inlineStr">
        <is>
          <t>-</t>
        </is>
      </c>
      <c r="H117" s="14" t="n">
        <v>3</v>
      </c>
      <c r="I117" s="14" t="inlineStr">
        <is>
          <t>R3-DI01</t>
        </is>
      </c>
      <c r="J117" s="14" t="n">
        <v>4</v>
      </c>
      <c r="K117" s="14" t="inlineStr">
        <is>
          <t>PRS</t>
        </is>
      </c>
      <c r="L117" s="14" t="inlineStr">
        <is>
          <t>PRS-DI1</t>
        </is>
      </c>
      <c r="M117" s="14" t="inlineStr">
        <is>
          <t>NTSDDI1602XK</t>
        </is>
      </c>
      <c r="N117" s="14" t="n">
        <v>4</v>
      </c>
      <c r="O117" s="14" t="inlineStr">
        <is>
          <t>Dry contact, wetted 24 V DC from the panel supply</t>
        </is>
      </c>
      <c r="P117" s="14" t="inlineStr"/>
    </row>
    <row r="118" ht="15" customHeight="1">
      <c r="A118" s="14" t="inlineStr">
        <is>
          <t>PRS-RS2-CLSD</t>
        </is>
      </c>
      <c r="B118" s="14" t="inlineStr">
        <is>
          <t>Ring switch 2 closed</t>
        </is>
      </c>
      <c r="C118" s="14" t="inlineStr">
        <is>
          <t>President station RMU</t>
        </is>
      </c>
      <c r="D118" s="14" t="inlineStr">
        <is>
          <t>DI</t>
        </is>
      </c>
      <c r="E118" s="14" t="inlineStr">
        <is>
          <t>Status</t>
        </is>
      </c>
      <c r="F118" s="14" t="inlineStr">
        <is>
          <t>Status</t>
        </is>
      </c>
      <c r="G118" s="14" t="inlineStr">
        <is>
          <t>-</t>
        </is>
      </c>
      <c r="H118" s="14" t="n">
        <v>3</v>
      </c>
      <c r="I118" s="14" t="inlineStr">
        <is>
          <t>R3-DI01</t>
        </is>
      </c>
      <c r="J118" s="14" t="n">
        <v>5</v>
      </c>
      <c r="K118" s="14" t="inlineStr">
        <is>
          <t>PRS</t>
        </is>
      </c>
      <c r="L118" s="14" t="inlineStr">
        <is>
          <t>PRS-DI1</t>
        </is>
      </c>
      <c r="M118" s="14" t="inlineStr">
        <is>
          <t>NTSDDI1602XK</t>
        </is>
      </c>
      <c r="N118" s="14" t="n">
        <v>5</v>
      </c>
      <c r="O118" s="14" t="inlineStr">
        <is>
          <t>Dry contact, wetted 24 V DC from the panel supply</t>
        </is>
      </c>
      <c r="P118" s="14" t="inlineStr"/>
    </row>
    <row r="119" ht="15" customHeight="1">
      <c r="A119" s="14" t="inlineStr">
        <is>
          <t>PRS-RS2-ES</t>
        </is>
      </c>
      <c r="B119" s="14" t="inlineStr">
        <is>
          <t>Ring switch 2 earth switch closed</t>
        </is>
      </c>
      <c r="C119" s="14" t="inlineStr">
        <is>
          <t>President station RMU</t>
        </is>
      </c>
      <c r="D119" s="14" t="inlineStr">
        <is>
          <t>DI</t>
        </is>
      </c>
      <c r="E119" s="14" t="inlineStr">
        <is>
          <t>Status</t>
        </is>
      </c>
      <c r="F119" s="14" t="inlineStr">
        <is>
          <t>Status</t>
        </is>
      </c>
      <c r="G119" s="14" t="inlineStr">
        <is>
          <t>-</t>
        </is>
      </c>
      <c r="H119" s="14" t="n">
        <v>3</v>
      </c>
      <c r="I119" s="14" t="inlineStr">
        <is>
          <t>R3-DI01</t>
        </is>
      </c>
      <c r="J119" s="14" t="n">
        <v>6</v>
      </c>
      <c r="K119" s="14" t="inlineStr">
        <is>
          <t>PRS</t>
        </is>
      </c>
      <c r="L119" s="14" t="inlineStr">
        <is>
          <t>PRS-DI1</t>
        </is>
      </c>
      <c r="M119" s="14" t="inlineStr">
        <is>
          <t>NTSDDI1602XK</t>
        </is>
      </c>
      <c r="N119" s="14" t="n">
        <v>6</v>
      </c>
      <c r="O119" s="14" t="inlineStr">
        <is>
          <t>Dry contact, wetted 24 V DC from the panel supply</t>
        </is>
      </c>
      <c r="P119" s="14" t="inlineStr"/>
    </row>
    <row r="120" ht="15" customHeight="1">
      <c r="A120" s="14" t="inlineStr">
        <is>
          <t>PRS-CB-OPEN</t>
        </is>
      </c>
      <c r="B120" s="14" t="inlineStr">
        <is>
          <t>Transformer breaker open</t>
        </is>
      </c>
      <c r="C120" s="14" t="inlineStr">
        <is>
          <t>President station RMU</t>
        </is>
      </c>
      <c r="D120" s="14" t="inlineStr">
        <is>
          <t>DI</t>
        </is>
      </c>
      <c r="E120" s="14" t="inlineStr">
        <is>
          <t>Status</t>
        </is>
      </c>
      <c r="F120" s="14" t="inlineStr">
        <is>
          <t>Status</t>
        </is>
      </c>
      <c r="G120" s="14" t="inlineStr">
        <is>
          <t>-</t>
        </is>
      </c>
      <c r="H120" s="14" t="n">
        <v>3</v>
      </c>
      <c r="I120" s="14" t="inlineStr">
        <is>
          <t>R3-DI01</t>
        </is>
      </c>
      <c r="J120" s="14" t="n">
        <v>7</v>
      </c>
      <c r="K120" s="14" t="inlineStr">
        <is>
          <t>PRS</t>
        </is>
      </c>
      <c r="L120" s="14" t="inlineStr">
        <is>
          <t>PRS-DI1</t>
        </is>
      </c>
      <c r="M120" s="14" t="inlineStr">
        <is>
          <t>NTSDDI1602XK</t>
        </is>
      </c>
      <c r="N120" s="14" t="n">
        <v>7</v>
      </c>
      <c r="O120" s="14" t="inlineStr">
        <is>
          <t>Dry contact, wetted 24 V DC from the panel supply</t>
        </is>
      </c>
      <c r="P120" s="14" t="inlineStr"/>
    </row>
    <row r="121" ht="15" customHeight="1">
      <c r="A121" s="14" t="inlineStr">
        <is>
          <t>PRS-CB-CLSD</t>
        </is>
      </c>
      <c r="B121" s="14" t="inlineStr">
        <is>
          <t>Transformer breaker closed</t>
        </is>
      </c>
      <c r="C121" s="14" t="inlineStr">
        <is>
          <t>President station RMU</t>
        </is>
      </c>
      <c r="D121" s="14" t="inlineStr">
        <is>
          <t>DI</t>
        </is>
      </c>
      <c r="E121" s="14" t="inlineStr">
        <is>
          <t>Status</t>
        </is>
      </c>
      <c r="F121" s="14" t="inlineStr">
        <is>
          <t>Status</t>
        </is>
      </c>
      <c r="G121" s="14" t="inlineStr">
        <is>
          <t>-</t>
        </is>
      </c>
      <c r="H121" s="14" t="n">
        <v>3</v>
      </c>
      <c r="I121" s="14" t="inlineStr">
        <is>
          <t>R3-DI01</t>
        </is>
      </c>
      <c r="J121" s="14" t="n">
        <v>8</v>
      </c>
      <c r="K121" s="14" t="inlineStr">
        <is>
          <t>PRS</t>
        </is>
      </c>
      <c r="L121" s="14" t="inlineStr">
        <is>
          <t>PRS-DI1</t>
        </is>
      </c>
      <c r="M121" s="14" t="inlineStr">
        <is>
          <t>NTSDDI1602XK</t>
        </is>
      </c>
      <c r="N121" s="14" t="n">
        <v>8</v>
      </c>
      <c r="O121" s="14" t="inlineStr">
        <is>
          <t>Dry contact, wetted 24 V DC from the panel supply</t>
        </is>
      </c>
      <c r="P121" s="14" t="inlineStr"/>
    </row>
    <row r="122" ht="15" customHeight="1">
      <c r="A122" s="14" t="inlineStr">
        <is>
          <t>PRS-CB-ES</t>
        </is>
      </c>
      <c r="B122" s="14" t="inlineStr">
        <is>
          <t>Transformer breaker earth switch closed</t>
        </is>
      </c>
      <c r="C122" s="14" t="inlineStr">
        <is>
          <t>President station RMU</t>
        </is>
      </c>
      <c r="D122" s="14" t="inlineStr">
        <is>
          <t>DI</t>
        </is>
      </c>
      <c r="E122" s="14" t="inlineStr">
        <is>
          <t>Status</t>
        </is>
      </c>
      <c r="F122" s="14" t="inlineStr">
        <is>
          <t>Status</t>
        </is>
      </c>
      <c r="G122" s="14" t="inlineStr">
        <is>
          <t>-</t>
        </is>
      </c>
      <c r="H122" s="14" t="n">
        <v>3</v>
      </c>
      <c r="I122" s="14" t="inlineStr">
        <is>
          <t>R3-DI01</t>
        </is>
      </c>
      <c r="J122" s="14" t="n">
        <v>9</v>
      </c>
      <c r="K122" s="14" t="inlineStr">
        <is>
          <t>PRS</t>
        </is>
      </c>
      <c r="L122" s="14" t="inlineStr">
        <is>
          <t>PRS-DI1</t>
        </is>
      </c>
      <c r="M122" s="14" t="inlineStr">
        <is>
          <t>NTSDDI1602XK</t>
        </is>
      </c>
      <c r="N122" s="14" t="n">
        <v>9</v>
      </c>
      <c r="O122" s="14" t="inlineStr">
        <is>
          <t>Dry contact, wetted 24 V DC from the panel supply</t>
        </is>
      </c>
      <c r="P122" s="14" t="inlineStr"/>
    </row>
    <row r="123" ht="15" customHeight="1">
      <c r="A123" s="14" t="inlineStr">
        <is>
          <t>PRS-CB-TRIP</t>
        </is>
      </c>
      <c r="B123" s="14" t="inlineStr">
        <is>
          <t>Transformer breaker tripped by ST260E</t>
        </is>
      </c>
      <c r="C123" s="14" t="inlineStr">
        <is>
          <t>President station RMU</t>
        </is>
      </c>
      <c r="D123" s="14" t="inlineStr">
        <is>
          <t>DI</t>
        </is>
      </c>
      <c r="E123" s="14" t="inlineStr">
        <is>
          <t>Normally open</t>
        </is>
      </c>
      <c r="F123" s="14" t="inlineStr">
        <is>
          <t>1</t>
        </is>
      </c>
      <c r="G123" s="14" t="inlineStr">
        <is>
          <t>-</t>
        </is>
      </c>
      <c r="H123" s="14" t="n">
        <v>3</v>
      </c>
      <c r="I123" s="14" t="inlineStr">
        <is>
          <t>R3-DI01</t>
        </is>
      </c>
      <c r="J123" s="14" t="n">
        <v>10</v>
      </c>
      <c r="K123" s="14" t="inlineStr">
        <is>
          <t>PRS</t>
        </is>
      </c>
      <c r="L123" s="14" t="inlineStr">
        <is>
          <t>PRS-DI1</t>
        </is>
      </c>
      <c r="M123" s="14" t="inlineStr">
        <is>
          <t>NTSDDI1602XK</t>
        </is>
      </c>
      <c r="N123" s="14" t="n">
        <v>10</v>
      </c>
      <c r="O123" s="14" t="inlineStr">
        <is>
          <t>Dry contact, wetted 24 V DC from the panel supply</t>
        </is>
      </c>
      <c r="P123" s="14" t="inlineStr"/>
    </row>
    <row r="124" ht="15" customHeight="1">
      <c r="A124" s="14" t="inlineStr">
        <is>
          <t>PRS-GAS-LOW</t>
        </is>
      </c>
      <c r="B124" s="14" t="inlineStr">
        <is>
          <t>RMU gas pressure low</t>
        </is>
      </c>
      <c r="C124" s="14" t="inlineStr">
        <is>
          <t>President station RMU</t>
        </is>
      </c>
      <c r="D124" s="14" t="inlineStr">
        <is>
          <t>DI</t>
        </is>
      </c>
      <c r="E124" s="14" t="inlineStr">
        <is>
          <t>Normally open</t>
        </is>
      </c>
      <c r="F124" s="14" t="inlineStr">
        <is>
          <t>2</t>
        </is>
      </c>
      <c r="G124" s="14" t="inlineStr">
        <is>
          <t>-</t>
        </is>
      </c>
      <c r="H124" s="14" t="n">
        <v>3</v>
      </c>
      <c r="I124" s="14" t="inlineStr">
        <is>
          <t>R3-DI01</t>
        </is>
      </c>
      <c r="J124" s="14" t="n">
        <v>11</v>
      </c>
      <c r="K124" s="14" t="inlineStr">
        <is>
          <t>PRS</t>
        </is>
      </c>
      <c r="L124" s="14" t="inlineStr">
        <is>
          <t>PRS-DI1</t>
        </is>
      </c>
      <c r="M124" s="14" t="inlineStr">
        <is>
          <t>NTSDDI1602XK</t>
        </is>
      </c>
      <c r="N124" s="14" t="n">
        <v>11</v>
      </c>
      <c r="O124" s="14" t="inlineStr">
        <is>
          <t>Dry contact, wetted 24 V DC from the panel supply</t>
        </is>
      </c>
      <c r="P124" s="14" t="inlineStr"/>
    </row>
    <row r="125" ht="15" customHeight="1">
      <c r="A125" s="14" t="inlineStr">
        <is>
          <t>PRS-LR-REM</t>
        </is>
      </c>
      <c r="B125" s="14" t="inlineStr">
        <is>
          <t>RMU local/remote in remote</t>
        </is>
      </c>
      <c r="C125" s="14" t="inlineStr">
        <is>
          <t>President station RMU</t>
        </is>
      </c>
      <c r="D125" s="14" t="inlineStr">
        <is>
          <t>DI</t>
        </is>
      </c>
      <c r="E125" s="14" t="inlineStr">
        <is>
          <t>Status</t>
        </is>
      </c>
      <c r="F125" s="14" t="inlineStr">
        <is>
          <t>Status</t>
        </is>
      </c>
      <c r="G125" s="14" t="inlineStr">
        <is>
          <t>-</t>
        </is>
      </c>
      <c r="H125" s="14" t="n">
        <v>3</v>
      </c>
      <c r="I125" s="14" t="inlineStr">
        <is>
          <t>R3-DI01</t>
        </is>
      </c>
      <c r="J125" s="14" t="n">
        <v>12</v>
      </c>
      <c r="K125" s="14" t="inlineStr">
        <is>
          <t>PRS</t>
        </is>
      </c>
      <c r="L125" s="14" t="inlineStr">
        <is>
          <t>PRS-DI1</t>
        </is>
      </c>
      <c r="M125" s="14" t="inlineStr">
        <is>
          <t>NTSDDI1602XK</t>
        </is>
      </c>
      <c r="N125" s="14" t="n">
        <v>12</v>
      </c>
      <c r="O125" s="14" t="inlineStr">
        <is>
          <t>Dry contact, wetted 24 V DC from the panel supply</t>
        </is>
      </c>
      <c r="P125" s="14" t="inlineStr"/>
    </row>
    <row r="126" ht="15" customHeight="1">
      <c r="A126" s="14" t="inlineStr">
        <is>
          <t>PRS-FPI</t>
        </is>
      </c>
      <c r="B126" s="14" t="inlineStr">
        <is>
          <t>Fault passage indicator operated</t>
        </is>
      </c>
      <c r="C126" s="14" t="inlineStr">
        <is>
          <t>President station RMU</t>
        </is>
      </c>
      <c r="D126" s="14" t="inlineStr">
        <is>
          <t>DI</t>
        </is>
      </c>
      <c r="E126" s="14" t="inlineStr">
        <is>
          <t>Normally open</t>
        </is>
      </c>
      <c r="F126" s="14" t="inlineStr">
        <is>
          <t>2</t>
        </is>
      </c>
      <c r="G126" s="14" t="inlineStr">
        <is>
          <t>-</t>
        </is>
      </c>
      <c r="H126" s="14" t="n">
        <v>3</v>
      </c>
      <c r="I126" s="14" t="inlineStr">
        <is>
          <t>R3-DI01</t>
        </is>
      </c>
      <c r="J126" s="14" t="n">
        <v>13</v>
      </c>
      <c r="K126" s="14" t="inlineStr">
        <is>
          <t>PRS</t>
        </is>
      </c>
      <c r="L126" s="14" t="inlineStr">
        <is>
          <t>PRS-DI2</t>
        </is>
      </c>
      <c r="M126" s="14" t="inlineStr">
        <is>
          <t>NTSDDI1602XK</t>
        </is>
      </c>
      <c r="N126" s="14" t="n">
        <v>1</v>
      </c>
      <c r="O126" s="14" t="inlineStr">
        <is>
          <t>Dry contact, wetted 24 V DC from the panel supply</t>
        </is>
      </c>
      <c r="P126" s="14" t="inlineStr"/>
    </row>
    <row r="127" ht="15" customHeight="1">
      <c r="A127" s="14" t="inlineStr">
        <is>
          <t>PRS-TX-OT-ALM</t>
        </is>
      </c>
      <c r="B127" s="14" t="inlineStr">
        <is>
          <t>Oil temperature alarm</t>
        </is>
      </c>
      <c r="C127" s="14" t="inlineStr">
        <is>
          <t>President station transformer 630 kVA</t>
        </is>
      </c>
      <c r="D127" s="14" t="inlineStr">
        <is>
          <t>DI</t>
        </is>
      </c>
      <c r="E127" s="14" t="inlineStr">
        <is>
          <t>Normally open</t>
        </is>
      </c>
      <c r="F127" s="14" t="inlineStr">
        <is>
          <t>3</t>
        </is>
      </c>
      <c r="G127" s="14" t="inlineStr">
        <is>
          <t>-</t>
        </is>
      </c>
      <c r="H127" s="14" t="n">
        <v>3</v>
      </c>
      <c r="I127" s="14" t="inlineStr">
        <is>
          <t>R3-DI01</t>
        </is>
      </c>
      <c r="J127" s="14" t="n">
        <v>14</v>
      </c>
      <c r="K127" s="14" t="inlineStr">
        <is>
          <t>PRS</t>
        </is>
      </c>
      <c r="L127" s="14" t="inlineStr">
        <is>
          <t>PRS-DI2</t>
        </is>
      </c>
      <c r="M127" s="14" t="inlineStr">
        <is>
          <t>NTSDDI1602XK</t>
        </is>
      </c>
      <c r="N127" s="14" t="n">
        <v>2</v>
      </c>
      <c r="O127" s="14" t="inlineStr">
        <is>
          <t>Dry contact, wetted 24 V DC from the panel supply</t>
        </is>
      </c>
      <c r="P127" s="14" t="inlineStr"/>
    </row>
    <row r="128" ht="15" customHeight="1">
      <c r="A128" s="14" t="inlineStr">
        <is>
          <t>PRS-TX-OT-TRIP</t>
        </is>
      </c>
      <c r="B128" s="14" t="inlineStr">
        <is>
          <t>Oil temperature trip</t>
        </is>
      </c>
      <c r="C128" s="14" t="inlineStr">
        <is>
          <t>President station transformer 630 kVA</t>
        </is>
      </c>
      <c r="D128" s="14" t="inlineStr">
        <is>
          <t>DI</t>
        </is>
      </c>
      <c r="E128" s="14" t="inlineStr">
        <is>
          <t>Normally open</t>
        </is>
      </c>
      <c r="F128" s="14" t="inlineStr">
        <is>
          <t>1</t>
        </is>
      </c>
      <c r="G128" s="14" t="inlineStr">
        <is>
          <t>-</t>
        </is>
      </c>
      <c r="H128" s="14" t="n">
        <v>3</v>
      </c>
      <c r="I128" s="14" t="inlineStr">
        <is>
          <t>R3-DI01</t>
        </is>
      </c>
      <c r="J128" s="14" t="n">
        <v>15</v>
      </c>
      <c r="K128" s="14" t="inlineStr">
        <is>
          <t>PRS</t>
        </is>
      </c>
      <c r="L128" s="14" t="inlineStr">
        <is>
          <t>PRS-DI2</t>
        </is>
      </c>
      <c r="M128" s="14" t="inlineStr">
        <is>
          <t>NTSDDI1602XK</t>
        </is>
      </c>
      <c r="N128" s="14" t="n">
        <v>3</v>
      </c>
      <c r="O128" s="14" t="inlineStr">
        <is>
          <t>Dry contact, wetted 24 V DC from the panel supply</t>
        </is>
      </c>
      <c r="P128" s="14" t="inlineStr"/>
    </row>
    <row r="129" ht="15" customHeight="1">
      <c r="A129" s="14" t="inlineStr">
        <is>
          <t>PRS-TX-WT-ALM</t>
        </is>
      </c>
      <c r="B129" s="14" t="inlineStr">
        <is>
          <t>Winding temperature alarm</t>
        </is>
      </c>
      <c r="C129" s="14" t="inlineStr">
        <is>
          <t>President station transformer 630 kVA</t>
        </is>
      </c>
      <c r="D129" s="14" t="inlineStr">
        <is>
          <t>DI</t>
        </is>
      </c>
      <c r="E129" s="14" t="inlineStr">
        <is>
          <t>Normally open</t>
        </is>
      </c>
      <c r="F129" s="14" t="inlineStr">
        <is>
          <t>3</t>
        </is>
      </c>
      <c r="G129" s="14" t="inlineStr">
        <is>
          <t>-</t>
        </is>
      </c>
      <c r="H129" s="14" t="n">
        <v>3</v>
      </c>
      <c r="I129" s="14" t="inlineStr">
        <is>
          <t>R3-DI01</t>
        </is>
      </c>
      <c r="J129" s="14" t="n">
        <v>16</v>
      </c>
      <c r="K129" s="14" t="inlineStr">
        <is>
          <t>PRS</t>
        </is>
      </c>
      <c r="L129" s="14" t="inlineStr">
        <is>
          <t>PRS-DI2</t>
        </is>
      </c>
      <c r="M129" s="14" t="inlineStr">
        <is>
          <t>NTSDDI1602XK</t>
        </is>
      </c>
      <c r="N129" s="14" t="n">
        <v>4</v>
      </c>
      <c r="O129" s="14" t="inlineStr">
        <is>
          <t>Dry contact, wetted 24 V DC from the panel supply</t>
        </is>
      </c>
      <c r="P129" s="14" t="inlineStr"/>
    </row>
    <row r="130" ht="15" customHeight="1">
      <c r="A130" s="14" t="inlineStr">
        <is>
          <t>PRS-TX-WT-TRIP</t>
        </is>
      </c>
      <c r="B130" s="14" t="inlineStr">
        <is>
          <t>Winding temperature trip</t>
        </is>
      </c>
      <c r="C130" s="14" t="inlineStr">
        <is>
          <t>President station transformer 630 kVA</t>
        </is>
      </c>
      <c r="D130" s="14" t="inlineStr">
        <is>
          <t>DI</t>
        </is>
      </c>
      <c r="E130" s="14" t="inlineStr">
        <is>
          <t>Normally open</t>
        </is>
      </c>
      <c r="F130" s="14" t="inlineStr">
        <is>
          <t>1</t>
        </is>
      </c>
      <c r="G130" s="14" t="inlineStr">
        <is>
          <t>-</t>
        </is>
      </c>
      <c r="H130" s="14" t="n">
        <v>3</v>
      </c>
      <c r="I130" s="14" t="inlineStr">
        <is>
          <t>R3-DI02</t>
        </is>
      </c>
      <c r="J130" s="14" t="n">
        <v>1</v>
      </c>
      <c r="K130" s="14" t="inlineStr">
        <is>
          <t>PRS</t>
        </is>
      </c>
      <c r="L130" s="14" t="inlineStr">
        <is>
          <t>PRS-DI2</t>
        </is>
      </c>
      <c r="M130" s="14" t="inlineStr">
        <is>
          <t>NTSDDI1602XK</t>
        </is>
      </c>
      <c r="N130" s="14" t="n">
        <v>5</v>
      </c>
      <c r="O130" s="14" t="inlineStr">
        <is>
          <t>Dry contact, wetted 24 V DC from the panel supply</t>
        </is>
      </c>
      <c r="P130" s="14" t="inlineStr"/>
    </row>
    <row r="131" ht="15" customHeight="1">
      <c r="A131" s="14" t="inlineStr">
        <is>
          <t>PRS-TX-PRD</t>
        </is>
      </c>
      <c r="B131" s="14" t="inlineStr">
        <is>
          <t>Pressure relief device operated</t>
        </is>
      </c>
      <c r="C131" s="14" t="inlineStr">
        <is>
          <t>President station transformer 630 kVA</t>
        </is>
      </c>
      <c r="D131" s="14" t="inlineStr">
        <is>
          <t>DI</t>
        </is>
      </c>
      <c r="E131" s="14" t="inlineStr">
        <is>
          <t>Normally open</t>
        </is>
      </c>
      <c r="F131" s="14" t="inlineStr">
        <is>
          <t>1</t>
        </is>
      </c>
      <c r="G131" s="14" t="inlineStr">
        <is>
          <t>-</t>
        </is>
      </c>
      <c r="H131" s="14" t="n">
        <v>3</v>
      </c>
      <c r="I131" s="14" t="inlineStr">
        <is>
          <t>R3-DI02</t>
        </is>
      </c>
      <c r="J131" s="14" t="n">
        <v>2</v>
      </c>
      <c r="K131" s="14" t="inlineStr">
        <is>
          <t>PRS</t>
        </is>
      </c>
      <c r="L131" s="14" t="inlineStr">
        <is>
          <t>PRS-DI2</t>
        </is>
      </c>
      <c r="M131" s="14" t="inlineStr">
        <is>
          <t>NTSDDI1602XK</t>
        </is>
      </c>
      <c r="N131" s="14" t="n">
        <v>6</v>
      </c>
      <c r="O131" s="14" t="inlineStr">
        <is>
          <t>Dry contact, wetted 24 V DC from the panel supply</t>
        </is>
      </c>
      <c r="P131" s="14" t="inlineStr"/>
    </row>
    <row r="132" ht="15" customHeight="1">
      <c r="A132" s="14" t="inlineStr">
        <is>
          <t>PRS-TX-OL-LOW</t>
        </is>
      </c>
      <c r="B132" s="14" t="inlineStr">
        <is>
          <t>Oil level low</t>
        </is>
      </c>
      <c r="C132" s="14" t="inlineStr">
        <is>
          <t>President station transformer 630 kVA</t>
        </is>
      </c>
      <c r="D132" s="14" t="inlineStr">
        <is>
          <t>DI</t>
        </is>
      </c>
      <c r="E132" s="14" t="inlineStr">
        <is>
          <t>Normally open</t>
        </is>
      </c>
      <c r="F132" s="14" t="inlineStr">
        <is>
          <t>2</t>
        </is>
      </c>
      <c r="G132" s="14" t="inlineStr">
        <is>
          <t>-</t>
        </is>
      </c>
      <c r="H132" s="14" t="n">
        <v>3</v>
      </c>
      <c r="I132" s="14" t="inlineStr">
        <is>
          <t>R3-DI02</t>
        </is>
      </c>
      <c r="J132" s="14" t="n">
        <v>3</v>
      </c>
      <c r="K132" s="14" t="inlineStr">
        <is>
          <t>PRS</t>
        </is>
      </c>
      <c r="L132" s="14" t="inlineStr">
        <is>
          <t>PRS-DI2</t>
        </is>
      </c>
      <c r="M132" s="14" t="inlineStr">
        <is>
          <t>NTSDDI1602XK</t>
        </is>
      </c>
      <c r="N132" s="14" t="n">
        <v>7</v>
      </c>
      <c r="O132" s="14" t="inlineStr">
        <is>
          <t>Dry contact, wetted 24 V DC from the panel supply</t>
        </is>
      </c>
      <c r="P132" s="14" t="inlineStr"/>
    </row>
    <row r="133" ht="15" customHeight="1">
      <c r="A133" s="14" t="inlineStr">
        <is>
          <t>PRS-LV-INC-CLSD</t>
        </is>
      </c>
      <c r="B133" s="14" t="inlineStr">
        <is>
          <t>LV incomer closed</t>
        </is>
      </c>
      <c r="C133" s="14" t="inlineStr">
        <is>
          <t>President station LVDB</t>
        </is>
      </c>
      <c r="D133" s="14" t="inlineStr">
        <is>
          <t>DI</t>
        </is>
      </c>
      <c r="E133" s="14" t="inlineStr">
        <is>
          <t>Status</t>
        </is>
      </c>
      <c r="F133" s="14" t="inlineStr">
        <is>
          <t>Status</t>
        </is>
      </c>
      <c r="G133" s="14" t="inlineStr">
        <is>
          <t>-</t>
        </is>
      </c>
      <c r="H133" s="14" t="n">
        <v>3</v>
      </c>
      <c r="I133" s="14" t="inlineStr">
        <is>
          <t>R3-DI02</t>
        </is>
      </c>
      <c r="J133" s="14" t="n">
        <v>4</v>
      </c>
      <c r="K133" s="14" t="inlineStr">
        <is>
          <t>PRS</t>
        </is>
      </c>
      <c r="L133" s="14" t="inlineStr">
        <is>
          <t>PRS-DI2</t>
        </is>
      </c>
      <c r="M133" s="14" t="inlineStr">
        <is>
          <t>NTSDDI1602XK</t>
        </is>
      </c>
      <c r="N133" s="14" t="n">
        <v>8</v>
      </c>
      <c r="O133" s="14" t="inlineStr">
        <is>
          <t>Dry contact, wetted 24 V DC from the panel supply</t>
        </is>
      </c>
      <c r="P133" s="14" t="inlineStr"/>
    </row>
    <row r="134" ht="15" customHeight="1">
      <c r="A134" s="14" t="inlineStr">
        <is>
          <t>PRS-LV-INC-TRIP</t>
        </is>
      </c>
      <c r="B134" s="14" t="inlineStr">
        <is>
          <t>LV incomer tripped</t>
        </is>
      </c>
      <c r="C134" s="14" t="inlineStr">
        <is>
          <t>President station LVDB</t>
        </is>
      </c>
      <c r="D134" s="14" t="inlineStr">
        <is>
          <t>DI</t>
        </is>
      </c>
      <c r="E134" s="14" t="inlineStr">
        <is>
          <t>Normally open</t>
        </is>
      </c>
      <c r="F134" s="14" t="inlineStr">
        <is>
          <t>2</t>
        </is>
      </c>
      <c r="G134" s="14" t="inlineStr">
        <is>
          <t>-</t>
        </is>
      </c>
      <c r="H134" s="14" t="n">
        <v>3</v>
      </c>
      <c r="I134" s="14" t="inlineStr">
        <is>
          <t>R3-DI02</t>
        </is>
      </c>
      <c r="J134" s="14" t="n">
        <v>5</v>
      </c>
      <c r="K134" s="14" t="inlineStr">
        <is>
          <t>PRS</t>
        </is>
      </c>
      <c r="L134" s="14" t="inlineStr">
        <is>
          <t>PRS-DI2</t>
        </is>
      </c>
      <c r="M134" s="14" t="inlineStr">
        <is>
          <t>NTSDDI1602XK</t>
        </is>
      </c>
      <c r="N134" s="14" t="n">
        <v>9</v>
      </c>
      <c r="O134" s="14" t="inlineStr">
        <is>
          <t>Dry contact, wetted 24 V DC from the panel supply</t>
        </is>
      </c>
      <c r="P134" s="14" t="inlineStr"/>
    </row>
    <row r="135" ht="15" customHeight="1">
      <c r="A135" s="14" t="inlineStr">
        <is>
          <t>PRS-LV-F01-CLSD</t>
        </is>
      </c>
      <c r="B135" s="14" t="inlineStr">
        <is>
          <t>Outgoing way 1 closed</t>
        </is>
      </c>
      <c r="C135" s="14" t="inlineStr">
        <is>
          <t>President station LVDB</t>
        </is>
      </c>
      <c r="D135" s="14" t="inlineStr">
        <is>
          <t>DI</t>
        </is>
      </c>
      <c r="E135" s="14" t="inlineStr">
        <is>
          <t>Status</t>
        </is>
      </c>
      <c r="F135" s="14" t="inlineStr">
        <is>
          <t>Status</t>
        </is>
      </c>
      <c r="G135" s="14" t="inlineStr">
        <is>
          <t>-</t>
        </is>
      </c>
      <c r="H135" s="14" t="n">
        <v>3</v>
      </c>
      <c r="I135" s="14" t="inlineStr">
        <is>
          <t>R3-DI02</t>
        </is>
      </c>
      <c r="J135" s="14" t="n">
        <v>6</v>
      </c>
      <c r="K135" s="14" t="inlineStr">
        <is>
          <t>PRS</t>
        </is>
      </c>
      <c r="L135" s="14" t="inlineStr">
        <is>
          <t>PRS-DI2</t>
        </is>
      </c>
      <c r="M135" s="14" t="inlineStr">
        <is>
          <t>NTSDDI1602XK</t>
        </is>
      </c>
      <c r="N135" s="14" t="n">
        <v>10</v>
      </c>
      <c r="O135" s="14" t="inlineStr">
        <is>
          <t>Dry contact, wetted 24 V DC from the panel supply</t>
        </is>
      </c>
      <c r="P135" s="14" t="inlineStr"/>
    </row>
    <row r="136" ht="15" customHeight="1">
      <c r="A136" s="14" t="inlineStr">
        <is>
          <t>PRS-LV-F02-CLSD</t>
        </is>
      </c>
      <c r="B136" s="14" t="inlineStr">
        <is>
          <t>Outgoing way 2 closed</t>
        </is>
      </c>
      <c r="C136" s="14" t="inlineStr">
        <is>
          <t>President station LVDB</t>
        </is>
      </c>
      <c r="D136" s="14" t="inlineStr">
        <is>
          <t>DI</t>
        </is>
      </c>
      <c r="E136" s="14" t="inlineStr">
        <is>
          <t>Status</t>
        </is>
      </c>
      <c r="F136" s="14" t="inlineStr">
        <is>
          <t>Status</t>
        </is>
      </c>
      <c r="G136" s="14" t="inlineStr">
        <is>
          <t>-</t>
        </is>
      </c>
      <c r="H136" s="14" t="n">
        <v>3</v>
      </c>
      <c r="I136" s="14" t="inlineStr">
        <is>
          <t>R3-DI02</t>
        </is>
      </c>
      <c r="J136" s="14" t="n">
        <v>7</v>
      </c>
      <c r="K136" s="14" t="inlineStr">
        <is>
          <t>PRS</t>
        </is>
      </c>
      <c r="L136" s="14" t="inlineStr">
        <is>
          <t>PRS-DI2</t>
        </is>
      </c>
      <c r="M136" s="14" t="inlineStr">
        <is>
          <t>NTSDDI1602XK</t>
        </is>
      </c>
      <c r="N136" s="14" t="n">
        <v>11</v>
      </c>
      <c r="O136" s="14" t="inlineStr">
        <is>
          <t>Dry contact, wetted 24 V DC from the panel supply</t>
        </is>
      </c>
      <c r="P136" s="14" t="inlineStr"/>
    </row>
    <row r="137" ht="15" customHeight="1">
      <c r="A137" s="14" t="inlineStr">
        <is>
          <t>PRS-LV-F03-CLSD</t>
        </is>
      </c>
      <c r="B137" s="14" t="inlineStr">
        <is>
          <t>Outgoing way 3 closed</t>
        </is>
      </c>
      <c r="C137" s="14" t="inlineStr">
        <is>
          <t>President station LVDB</t>
        </is>
      </c>
      <c r="D137" s="14" t="inlineStr">
        <is>
          <t>DI</t>
        </is>
      </c>
      <c r="E137" s="14" t="inlineStr">
        <is>
          <t>Status</t>
        </is>
      </c>
      <c r="F137" s="14" t="inlineStr">
        <is>
          <t>Status</t>
        </is>
      </c>
      <c r="G137" s="14" t="inlineStr">
        <is>
          <t>-</t>
        </is>
      </c>
      <c r="H137" s="14" t="n">
        <v>3</v>
      </c>
      <c r="I137" s="14" t="inlineStr">
        <is>
          <t>R3-DI02</t>
        </is>
      </c>
      <c r="J137" s="14" t="n">
        <v>8</v>
      </c>
      <c r="K137" s="14" t="inlineStr">
        <is>
          <t>PRS</t>
        </is>
      </c>
      <c r="L137" s="14" t="inlineStr">
        <is>
          <t>PRS-DI2</t>
        </is>
      </c>
      <c r="M137" s="14" t="inlineStr">
        <is>
          <t>NTSDDI1602XK</t>
        </is>
      </c>
      <c r="N137" s="14" t="n">
        <v>12</v>
      </c>
      <c r="O137" s="14" t="inlineStr">
        <is>
          <t>Dry contact, wetted 24 V DC from the panel supply</t>
        </is>
      </c>
      <c r="P137" s="14" t="inlineStr"/>
    </row>
    <row r="138" ht="15" customHeight="1">
      <c r="A138" s="14" t="inlineStr">
        <is>
          <t>PRS-LV-F04-CLSD</t>
        </is>
      </c>
      <c r="B138" s="14" t="inlineStr">
        <is>
          <t>Outgoing way 4 closed</t>
        </is>
      </c>
      <c r="C138" s="14" t="inlineStr">
        <is>
          <t>President station LVDB</t>
        </is>
      </c>
      <c r="D138" s="14" t="inlineStr">
        <is>
          <t>DI</t>
        </is>
      </c>
      <c r="E138" s="14" t="inlineStr">
        <is>
          <t>Status</t>
        </is>
      </c>
      <c r="F138" s="14" t="inlineStr">
        <is>
          <t>Status</t>
        </is>
      </c>
      <c r="G138" s="14" t="inlineStr">
        <is>
          <t>-</t>
        </is>
      </c>
      <c r="H138" s="14" t="n">
        <v>3</v>
      </c>
      <c r="I138" s="14" t="inlineStr">
        <is>
          <t>R3-DI02</t>
        </is>
      </c>
      <c r="J138" s="14" t="n">
        <v>9</v>
      </c>
      <c r="K138" s="14" t="inlineStr">
        <is>
          <t>PRS</t>
        </is>
      </c>
      <c r="L138" s="14" t="inlineStr">
        <is>
          <t>PRS-DI3</t>
        </is>
      </c>
      <c r="M138" s="14" t="inlineStr">
        <is>
          <t>NTSDDI1602XK</t>
        </is>
      </c>
      <c r="N138" s="14" t="n">
        <v>1</v>
      </c>
      <c r="O138" s="14" t="inlineStr">
        <is>
          <t>Dry contact, wetted 24 V DC from the panel supply</t>
        </is>
      </c>
      <c r="P138" s="14" t="inlineStr"/>
    </row>
    <row r="139" ht="15" customHeight="1">
      <c r="A139" s="14" t="inlineStr">
        <is>
          <t>PRS-LV-F05-CLSD</t>
        </is>
      </c>
      <c r="B139" s="14" t="inlineStr">
        <is>
          <t>Outgoing way 5 closed</t>
        </is>
      </c>
      <c r="C139" s="14" t="inlineStr">
        <is>
          <t>President station LVDB</t>
        </is>
      </c>
      <c r="D139" s="14" t="inlineStr">
        <is>
          <t>DI</t>
        </is>
      </c>
      <c r="E139" s="14" t="inlineStr">
        <is>
          <t>Status</t>
        </is>
      </c>
      <c r="F139" s="14" t="inlineStr">
        <is>
          <t>Status</t>
        </is>
      </c>
      <c r="G139" s="14" t="inlineStr">
        <is>
          <t>-</t>
        </is>
      </c>
      <c r="H139" s="14" t="n">
        <v>3</v>
      </c>
      <c r="I139" s="14" t="inlineStr">
        <is>
          <t>R3-DI02</t>
        </is>
      </c>
      <c r="J139" s="14" t="n">
        <v>10</v>
      </c>
      <c r="K139" s="14" t="inlineStr">
        <is>
          <t>PRS</t>
        </is>
      </c>
      <c r="L139" s="14" t="inlineStr">
        <is>
          <t>PRS-DI3</t>
        </is>
      </c>
      <c r="M139" s="14" t="inlineStr">
        <is>
          <t>NTSDDI1602XK</t>
        </is>
      </c>
      <c r="N139" s="14" t="n">
        <v>2</v>
      </c>
      <c r="O139" s="14" t="inlineStr">
        <is>
          <t>Dry contact, wetted 24 V DC from the panel supply</t>
        </is>
      </c>
      <c r="P139" s="14" t="inlineStr"/>
    </row>
    <row r="140" ht="15" customHeight="1">
      <c r="A140" s="14" t="inlineStr">
        <is>
          <t>PRS-LV-F06-CLSD</t>
        </is>
      </c>
      <c r="B140" s="14" t="inlineStr">
        <is>
          <t>Outgoing way 6 closed</t>
        </is>
      </c>
      <c r="C140" s="14" t="inlineStr">
        <is>
          <t>President station LVDB</t>
        </is>
      </c>
      <c r="D140" s="14" t="inlineStr">
        <is>
          <t>DI</t>
        </is>
      </c>
      <c r="E140" s="14" t="inlineStr">
        <is>
          <t>Status</t>
        </is>
      </c>
      <c r="F140" s="14" t="inlineStr">
        <is>
          <t>Status</t>
        </is>
      </c>
      <c r="G140" s="14" t="inlineStr">
        <is>
          <t>-</t>
        </is>
      </c>
      <c r="H140" s="14" t="n">
        <v>3</v>
      </c>
      <c r="I140" s="14" t="inlineStr">
        <is>
          <t>R3-DI02</t>
        </is>
      </c>
      <c r="J140" s="14" t="n">
        <v>11</v>
      </c>
      <c r="K140" s="14" t="inlineStr">
        <is>
          <t>PRS</t>
        </is>
      </c>
      <c r="L140" s="14" t="inlineStr">
        <is>
          <t>PRS-DI3</t>
        </is>
      </c>
      <c r="M140" s="14" t="inlineStr">
        <is>
          <t>NTSDDI1602XK</t>
        </is>
      </c>
      <c r="N140" s="14" t="n">
        <v>3</v>
      </c>
      <c r="O140" s="14" t="inlineStr">
        <is>
          <t>Dry contact, wetted 24 V DC from the panel supply</t>
        </is>
      </c>
      <c r="P140" s="14" t="inlineStr"/>
    </row>
    <row r="141" ht="15" customHeight="1">
      <c r="A141" s="14" t="inlineStr">
        <is>
          <t>PRS-LV-F07-CLSD</t>
        </is>
      </c>
      <c r="B141" s="14" t="inlineStr">
        <is>
          <t>Outgoing way 7 closed</t>
        </is>
      </c>
      <c r="C141" s="14" t="inlineStr">
        <is>
          <t>President station LVDB</t>
        </is>
      </c>
      <c r="D141" s="14" t="inlineStr">
        <is>
          <t>DI</t>
        </is>
      </c>
      <c r="E141" s="14" t="inlineStr">
        <is>
          <t>Status</t>
        </is>
      </c>
      <c r="F141" s="14" t="inlineStr">
        <is>
          <t>Status</t>
        </is>
      </c>
      <c r="G141" s="14" t="inlineStr">
        <is>
          <t>-</t>
        </is>
      </c>
      <c r="H141" s="14" t="n">
        <v>3</v>
      </c>
      <c r="I141" s="14" t="inlineStr">
        <is>
          <t>R3-DI02</t>
        </is>
      </c>
      <c r="J141" s="14" t="n">
        <v>12</v>
      </c>
      <c r="K141" s="14" t="inlineStr">
        <is>
          <t>PRS</t>
        </is>
      </c>
      <c r="L141" s="14" t="inlineStr">
        <is>
          <t>PRS-DI3</t>
        </is>
      </c>
      <c r="M141" s="14" t="inlineStr">
        <is>
          <t>NTSDDI1602XK</t>
        </is>
      </c>
      <c r="N141" s="14" t="n">
        <v>4</v>
      </c>
      <c r="O141" s="14" t="inlineStr">
        <is>
          <t>Dry contact, wetted 24 V DC from the panel supply</t>
        </is>
      </c>
      <c r="P141" s="14" t="inlineStr"/>
    </row>
    <row r="142" ht="15" customHeight="1">
      <c r="A142" s="14" t="inlineStr">
        <is>
          <t>PRS-LV-F08-CLSD</t>
        </is>
      </c>
      <c r="B142" s="14" t="inlineStr">
        <is>
          <t>Outgoing way 8 closed</t>
        </is>
      </c>
      <c r="C142" s="14" t="inlineStr">
        <is>
          <t>President station LVDB</t>
        </is>
      </c>
      <c r="D142" s="14" t="inlineStr">
        <is>
          <t>DI</t>
        </is>
      </c>
      <c r="E142" s="14" t="inlineStr">
        <is>
          <t>Status</t>
        </is>
      </c>
      <c r="F142" s="14" t="inlineStr">
        <is>
          <t>Status</t>
        </is>
      </c>
      <c r="G142" s="14" t="inlineStr">
        <is>
          <t>-</t>
        </is>
      </c>
      <c r="H142" s="14" t="n">
        <v>3</v>
      </c>
      <c r="I142" s="14" t="inlineStr">
        <is>
          <t>R3-DI02</t>
        </is>
      </c>
      <c r="J142" s="14" t="n">
        <v>13</v>
      </c>
      <c r="K142" s="14" t="inlineStr">
        <is>
          <t>PRS</t>
        </is>
      </c>
      <c r="L142" s="14" t="inlineStr">
        <is>
          <t>PRS-DI3</t>
        </is>
      </c>
      <c r="M142" s="14" t="inlineStr">
        <is>
          <t>NTSDDI1602XK</t>
        </is>
      </c>
      <c r="N142" s="14" t="n">
        <v>5</v>
      </c>
      <c r="O142" s="14" t="inlineStr">
        <is>
          <t>Dry contact, wetted 24 V DC from the panel supply</t>
        </is>
      </c>
      <c r="P142" s="14" t="inlineStr"/>
    </row>
    <row r="143" ht="15" customHeight="1">
      <c r="A143" s="14" t="inlineStr">
        <is>
          <t>PRS-LV-F09-CLSD</t>
        </is>
      </c>
      <c r="B143" s="14" t="inlineStr">
        <is>
          <t>Outgoing way 9 closed</t>
        </is>
      </c>
      <c r="C143" s="14" t="inlineStr">
        <is>
          <t>President station LVDB</t>
        </is>
      </c>
      <c r="D143" s="14" t="inlineStr">
        <is>
          <t>DI</t>
        </is>
      </c>
      <c r="E143" s="14" t="inlineStr">
        <is>
          <t>Status</t>
        </is>
      </c>
      <c r="F143" s="14" t="inlineStr">
        <is>
          <t>Status</t>
        </is>
      </c>
      <c r="G143" s="14" t="inlineStr">
        <is>
          <t>-</t>
        </is>
      </c>
      <c r="H143" s="14" t="n">
        <v>3</v>
      </c>
      <c r="I143" s="14" t="inlineStr">
        <is>
          <t>R3-DI02</t>
        </is>
      </c>
      <c r="J143" s="14" t="n">
        <v>14</v>
      </c>
      <c r="K143" s="14" t="inlineStr">
        <is>
          <t>PRS</t>
        </is>
      </c>
      <c r="L143" s="14" t="inlineStr">
        <is>
          <t>PRS-DI3</t>
        </is>
      </c>
      <c r="M143" s="14" t="inlineStr">
        <is>
          <t>NTSDDI1602XK</t>
        </is>
      </c>
      <c r="N143" s="14" t="n">
        <v>6</v>
      </c>
      <c r="O143" s="14" t="inlineStr">
        <is>
          <t>Dry contact, wetted 24 V DC from the panel supply</t>
        </is>
      </c>
      <c r="P143" s="14" t="inlineStr"/>
    </row>
    <row r="144" ht="15" customHeight="1">
      <c r="A144" s="14" t="inlineStr">
        <is>
          <t>PRS-LV-F10-CLSD</t>
        </is>
      </c>
      <c r="B144" s="14" t="inlineStr">
        <is>
          <t>Outgoing way 10 closed</t>
        </is>
      </c>
      <c r="C144" s="14" t="inlineStr">
        <is>
          <t>President station LVDB</t>
        </is>
      </c>
      <c r="D144" s="14" t="inlineStr">
        <is>
          <t>DI</t>
        </is>
      </c>
      <c r="E144" s="14" t="inlineStr">
        <is>
          <t>Status</t>
        </is>
      </c>
      <c r="F144" s="14" t="inlineStr">
        <is>
          <t>Status</t>
        </is>
      </c>
      <c r="G144" s="14" t="inlineStr">
        <is>
          <t>-</t>
        </is>
      </c>
      <c r="H144" s="14" t="n">
        <v>3</v>
      </c>
      <c r="I144" s="14" t="inlineStr">
        <is>
          <t>R3-DI02</t>
        </is>
      </c>
      <c r="J144" s="14" t="n">
        <v>15</v>
      </c>
      <c r="K144" s="14" t="inlineStr">
        <is>
          <t>PRS</t>
        </is>
      </c>
      <c r="L144" s="14" t="inlineStr">
        <is>
          <t>PRS-DI3</t>
        </is>
      </c>
      <c r="M144" s="14" t="inlineStr">
        <is>
          <t>NTSDDI1602XK</t>
        </is>
      </c>
      <c r="N144" s="14" t="n">
        <v>7</v>
      </c>
      <c r="O144" s="14" t="inlineStr">
        <is>
          <t>Dry contact, wetted 24 V DC from the panel supply</t>
        </is>
      </c>
      <c r="P144" s="14" t="inlineStr"/>
    </row>
    <row r="145" ht="15" customHeight="1">
      <c r="A145" s="14" t="inlineStr">
        <is>
          <t>PRS-LV-SPD-FLT</t>
        </is>
      </c>
      <c r="B145" s="14" t="inlineStr">
        <is>
          <t>Surge arrester failed</t>
        </is>
      </c>
      <c r="C145" s="14" t="inlineStr">
        <is>
          <t>President station LVDB</t>
        </is>
      </c>
      <c r="D145" s="14" t="inlineStr">
        <is>
          <t>DI</t>
        </is>
      </c>
      <c r="E145" s="14" t="inlineStr">
        <is>
          <t>Normally open</t>
        </is>
      </c>
      <c r="F145" s="14" t="inlineStr">
        <is>
          <t>3</t>
        </is>
      </c>
      <c r="G145" s="14" t="inlineStr">
        <is>
          <t>-</t>
        </is>
      </c>
      <c r="H145" s="14" t="n">
        <v>3</v>
      </c>
      <c r="I145" s="14" t="inlineStr">
        <is>
          <t>R3-DI02</t>
        </is>
      </c>
      <c r="J145" s="14" t="n">
        <v>16</v>
      </c>
      <c r="K145" s="14" t="inlineStr">
        <is>
          <t>PRS</t>
        </is>
      </c>
      <c r="L145" s="14" t="inlineStr">
        <is>
          <t>PRS-DI3</t>
        </is>
      </c>
      <c r="M145" s="14" t="inlineStr">
        <is>
          <t>NTSDDI1602XK</t>
        </is>
      </c>
      <c r="N145" s="14" t="n">
        <v>8</v>
      </c>
      <c r="O145" s="14" t="inlineStr">
        <is>
          <t>Dry contact, wetted 24 V DC from the panel supply</t>
        </is>
      </c>
      <c r="P145" s="14" t="inlineStr"/>
    </row>
    <row r="146" ht="15" customHeight="1">
      <c r="A146" s="14" t="inlineStr">
        <is>
          <t>PRS-PNL-SUP-OK</t>
        </is>
      </c>
      <c r="B146" s="14" t="inlineStr">
        <is>
          <t>I/O panel supply healthy</t>
        </is>
      </c>
      <c r="C146" s="14" t="inlineStr">
        <is>
          <t>President station LVDB</t>
        </is>
      </c>
      <c r="D146" s="14" t="inlineStr">
        <is>
          <t>DI</t>
        </is>
      </c>
      <c r="E146" s="14" t="inlineStr">
        <is>
          <t>Normally closed</t>
        </is>
      </c>
      <c r="F146" s="14" t="inlineStr">
        <is>
          <t>2</t>
        </is>
      </c>
      <c r="G146" s="14" t="inlineStr">
        <is>
          <t>-</t>
        </is>
      </c>
      <c r="H146" s="14" t="n">
        <v>3</v>
      </c>
      <c r="I146" s="14" t="inlineStr">
        <is>
          <t>R3-DI03</t>
        </is>
      </c>
      <c r="J146" s="14" t="n">
        <v>1</v>
      </c>
      <c r="K146" s="14" t="inlineStr">
        <is>
          <t>PRS</t>
        </is>
      </c>
      <c r="L146" s="14" t="inlineStr">
        <is>
          <t>PRS-DI3</t>
        </is>
      </c>
      <c r="M146" s="14" t="inlineStr">
        <is>
          <t>NTSDDI1602XK</t>
        </is>
      </c>
      <c r="N146" s="14" t="n">
        <v>9</v>
      </c>
      <c r="O146" s="14" t="inlineStr">
        <is>
          <t>Dry contact, wetted 24 V DC from the panel supply</t>
        </is>
      </c>
      <c r="P146" s="14" t="inlineStr"/>
    </row>
    <row r="147" ht="15" customHeight="1">
      <c r="A147" s="14" t="inlineStr">
        <is>
          <t>PRS-UPS-ON-BATT</t>
        </is>
      </c>
      <c r="B147" s="14" t="inlineStr">
        <is>
          <t>RMU UPS 2 kVA on battery</t>
        </is>
      </c>
      <c r="C147" s="14" t="inlineStr">
        <is>
          <t>President station RMU</t>
        </is>
      </c>
      <c r="D147" s="14" t="inlineStr">
        <is>
          <t>DI</t>
        </is>
      </c>
      <c r="E147" s="14" t="inlineStr">
        <is>
          <t>Normally open</t>
        </is>
      </c>
      <c r="F147" s="14" t="inlineStr">
        <is>
          <t>2</t>
        </is>
      </c>
      <c r="G147" s="14" t="inlineStr">
        <is>
          <t>-</t>
        </is>
      </c>
      <c r="H147" s="14" t="n">
        <v>3</v>
      </c>
      <c r="I147" s="14" t="inlineStr">
        <is>
          <t>R3-DI03</t>
        </is>
      </c>
      <c r="J147" s="14" t="n">
        <v>2</v>
      </c>
      <c r="K147" s="14" t="inlineStr">
        <is>
          <t>PRS</t>
        </is>
      </c>
      <c r="L147" s="14" t="inlineStr">
        <is>
          <t>PRS-DI3</t>
        </is>
      </c>
      <c r="M147" s="14" t="inlineStr">
        <is>
          <t>NTSDDI1602XK</t>
        </is>
      </c>
      <c r="N147" s="14" t="n">
        <v>10</v>
      </c>
      <c r="O147" s="14" t="inlineStr">
        <is>
          <t>Dry contact, wetted 24 V DC from the panel supply</t>
        </is>
      </c>
      <c r="P147" s="14" t="inlineStr"/>
    </row>
    <row r="148" ht="15" customHeight="1">
      <c r="A148" s="14" t="inlineStr">
        <is>
          <t>PRS-UPS-FLT</t>
        </is>
      </c>
      <c r="B148" s="14" t="inlineStr">
        <is>
          <t>RMU UPS 2 kVA fault</t>
        </is>
      </c>
      <c r="C148" s="14" t="inlineStr">
        <is>
          <t>President station RMU</t>
        </is>
      </c>
      <c r="D148" s="14" t="inlineStr">
        <is>
          <t>DI</t>
        </is>
      </c>
      <c r="E148" s="14" t="inlineStr">
        <is>
          <t>Normally open</t>
        </is>
      </c>
      <c r="F148" s="14" t="inlineStr">
        <is>
          <t>2</t>
        </is>
      </c>
      <c r="G148" s="14" t="inlineStr">
        <is>
          <t>-</t>
        </is>
      </c>
      <c r="H148" s="14" t="n">
        <v>3</v>
      </c>
      <c r="I148" s="14" t="inlineStr">
        <is>
          <t>R3-DI03</t>
        </is>
      </c>
      <c r="J148" s="14" t="n">
        <v>3</v>
      </c>
      <c r="K148" s="14" t="inlineStr">
        <is>
          <t>PRS</t>
        </is>
      </c>
      <c r="L148" s="14" t="inlineStr">
        <is>
          <t>PRS-DI3</t>
        </is>
      </c>
      <c r="M148" s="14" t="inlineStr">
        <is>
          <t>NTSDDI1602XK</t>
        </is>
      </c>
      <c r="N148" s="14" t="n">
        <v>11</v>
      </c>
      <c r="O148" s="14" t="inlineStr">
        <is>
          <t>Dry contact, wetted 24 V DC from the panel supply</t>
        </is>
      </c>
      <c r="P148" s="14" t="inlineStr"/>
    </row>
    <row r="149" ht="15" customHeight="1">
      <c r="A149" s="14" t="inlineStr">
        <is>
          <t>PRS-RS1-OPEN-CMD</t>
        </is>
      </c>
      <c r="B149" s="14" t="inlineStr">
        <is>
          <t>Open ring switch 1</t>
        </is>
      </c>
      <c r="C149" s="14" t="inlineStr">
        <is>
          <t>President station RMU</t>
        </is>
      </c>
      <c r="D149" s="14" t="inlineStr">
        <is>
          <t>DO</t>
        </is>
      </c>
      <c r="E149" s="14" t="inlineStr">
        <is>
          <t>Pulse</t>
        </is>
      </c>
      <c r="F149" s="14" t="inlineStr">
        <is>
          <t>-</t>
        </is>
      </c>
      <c r="G149" s="14" t="inlineStr">
        <is>
          <t>Operator</t>
        </is>
      </c>
      <c r="H149" s="14" t="n">
        <v>3</v>
      </c>
      <c r="I149" s="14" t="inlineStr">
        <is>
          <t>R3-CO01</t>
        </is>
      </c>
      <c r="J149" s="14" t="n">
        <v>1</v>
      </c>
      <c r="K149" s="14" t="inlineStr">
        <is>
          <t>PRS</t>
        </is>
      </c>
      <c r="L149" s="14" t="inlineStr">
        <is>
          <t>PRS-DO1</t>
        </is>
      </c>
      <c r="M149" s="14" t="inlineStr">
        <is>
          <t>NTSDDO1602K</t>
        </is>
      </c>
      <c r="N149" s="14" t="n">
        <v>1</v>
      </c>
      <c r="O149" s="14" t="inlineStr">
        <is>
          <t>Interposing relay IR17, contact in the breaker or switch control circuit</t>
        </is>
      </c>
      <c r="P149" s="14" t="inlineStr">
        <is>
          <t>IR17</t>
        </is>
      </c>
    </row>
    <row r="150" ht="15" customHeight="1">
      <c r="A150" s="14" t="inlineStr">
        <is>
          <t>PRS-RS1-CLOSE-CMD</t>
        </is>
      </c>
      <c r="B150" s="14" t="inlineStr">
        <is>
          <t>Close ring switch 1</t>
        </is>
      </c>
      <c r="C150" s="14" t="inlineStr">
        <is>
          <t>President station RMU</t>
        </is>
      </c>
      <c r="D150" s="14" t="inlineStr">
        <is>
          <t>DO</t>
        </is>
      </c>
      <c r="E150" s="14" t="inlineStr">
        <is>
          <t>Pulse</t>
        </is>
      </c>
      <c r="F150" s="14" t="inlineStr">
        <is>
          <t>-</t>
        </is>
      </c>
      <c r="G150" s="14" t="inlineStr">
        <is>
          <t>Operator</t>
        </is>
      </c>
      <c r="H150" s="14" t="n">
        <v>3</v>
      </c>
      <c r="I150" s="14" t="inlineStr">
        <is>
          <t>R3-CO01</t>
        </is>
      </c>
      <c r="J150" s="14" t="n">
        <v>2</v>
      </c>
      <c r="K150" s="14" t="inlineStr">
        <is>
          <t>PRS</t>
        </is>
      </c>
      <c r="L150" s="14" t="inlineStr">
        <is>
          <t>PRS-DO1</t>
        </is>
      </c>
      <c r="M150" s="14" t="inlineStr">
        <is>
          <t>NTSDDO1602K</t>
        </is>
      </c>
      <c r="N150" s="14" t="n">
        <v>2</v>
      </c>
      <c r="O150" s="14" t="inlineStr">
        <is>
          <t>Interposing relay IR18, contact in the breaker or switch control circuit</t>
        </is>
      </c>
      <c r="P150" s="14" t="inlineStr">
        <is>
          <t>IR18</t>
        </is>
      </c>
    </row>
    <row r="151" ht="15" customHeight="1">
      <c r="A151" s="14" t="inlineStr">
        <is>
          <t>PRS-RS2-OPEN-CMD</t>
        </is>
      </c>
      <c r="B151" s="14" t="inlineStr">
        <is>
          <t>Open ring switch 2</t>
        </is>
      </c>
      <c r="C151" s="14" t="inlineStr">
        <is>
          <t>President station RMU</t>
        </is>
      </c>
      <c r="D151" s="14" t="inlineStr">
        <is>
          <t>DO</t>
        </is>
      </c>
      <c r="E151" s="14" t="inlineStr">
        <is>
          <t>Pulse</t>
        </is>
      </c>
      <c r="F151" s="14" t="inlineStr">
        <is>
          <t>-</t>
        </is>
      </c>
      <c r="G151" s="14" t="inlineStr">
        <is>
          <t>Operator</t>
        </is>
      </c>
      <c r="H151" s="14" t="n">
        <v>3</v>
      </c>
      <c r="I151" s="14" t="inlineStr">
        <is>
          <t>R3-CO01</t>
        </is>
      </c>
      <c r="J151" s="14" t="n">
        <v>3</v>
      </c>
      <c r="K151" s="14" t="inlineStr">
        <is>
          <t>PRS</t>
        </is>
      </c>
      <c r="L151" s="14" t="inlineStr">
        <is>
          <t>PRS-DO1</t>
        </is>
      </c>
      <c r="M151" s="14" t="inlineStr">
        <is>
          <t>NTSDDO1602K</t>
        </is>
      </c>
      <c r="N151" s="14" t="n">
        <v>3</v>
      </c>
      <c r="O151" s="14" t="inlineStr">
        <is>
          <t>Interposing relay IR19, contact in the breaker or switch control circuit</t>
        </is>
      </c>
      <c r="P151" s="14" t="inlineStr">
        <is>
          <t>IR19</t>
        </is>
      </c>
    </row>
    <row r="152" ht="15" customHeight="1">
      <c r="A152" s="14" t="inlineStr">
        <is>
          <t>PRS-RS2-CLOSE-CMD</t>
        </is>
      </c>
      <c r="B152" s="14" t="inlineStr">
        <is>
          <t>Close ring switch 2</t>
        </is>
      </c>
      <c r="C152" s="14" t="inlineStr">
        <is>
          <t>President station RMU</t>
        </is>
      </c>
      <c r="D152" s="14" t="inlineStr">
        <is>
          <t>DO</t>
        </is>
      </c>
      <c r="E152" s="14" t="inlineStr">
        <is>
          <t>Pulse</t>
        </is>
      </c>
      <c r="F152" s="14" t="inlineStr">
        <is>
          <t>-</t>
        </is>
      </c>
      <c r="G152" s="14" t="inlineStr">
        <is>
          <t>Operator</t>
        </is>
      </c>
      <c r="H152" s="14" t="n">
        <v>3</v>
      </c>
      <c r="I152" s="14" t="inlineStr">
        <is>
          <t>R3-CO01</t>
        </is>
      </c>
      <c r="J152" s="14" t="n">
        <v>4</v>
      </c>
      <c r="K152" s="14" t="inlineStr">
        <is>
          <t>PRS</t>
        </is>
      </c>
      <c r="L152" s="14" t="inlineStr">
        <is>
          <t>PRS-DO1</t>
        </is>
      </c>
      <c r="M152" s="14" t="inlineStr">
        <is>
          <t>NTSDDO1602K</t>
        </is>
      </c>
      <c r="N152" s="14" t="n">
        <v>4</v>
      </c>
      <c r="O152" s="14" t="inlineStr">
        <is>
          <t>Interposing relay IR20, contact in the breaker or switch control circuit</t>
        </is>
      </c>
      <c r="P152" s="14" t="inlineStr">
        <is>
          <t>IR20</t>
        </is>
      </c>
    </row>
    <row r="153" ht="15" customHeight="1">
      <c r="A153" s="14" t="inlineStr">
        <is>
          <t>PRS-CB-OPEN-CMD</t>
        </is>
      </c>
      <c r="B153" s="14" t="inlineStr">
        <is>
          <t>Open transformer breaker</t>
        </is>
      </c>
      <c r="C153" s="14" t="inlineStr">
        <is>
          <t>President station RMU</t>
        </is>
      </c>
      <c r="D153" s="14" t="inlineStr">
        <is>
          <t>DO</t>
        </is>
      </c>
      <c r="E153" s="14" t="inlineStr">
        <is>
          <t>Pulse</t>
        </is>
      </c>
      <c r="F153" s="14" t="inlineStr">
        <is>
          <t>-</t>
        </is>
      </c>
      <c r="G153" s="14" t="inlineStr">
        <is>
          <t>Operator</t>
        </is>
      </c>
      <c r="H153" s="14" t="n">
        <v>3</v>
      </c>
      <c r="I153" s="14" t="inlineStr">
        <is>
          <t>R3-CO01</t>
        </is>
      </c>
      <c r="J153" s="14" t="n">
        <v>5</v>
      </c>
      <c r="K153" s="14" t="inlineStr">
        <is>
          <t>PRS</t>
        </is>
      </c>
      <c r="L153" s="14" t="inlineStr">
        <is>
          <t>PRS-DO1</t>
        </is>
      </c>
      <c r="M153" s="14" t="inlineStr">
        <is>
          <t>NTSDDO1602K</t>
        </is>
      </c>
      <c r="N153" s="14" t="n">
        <v>5</v>
      </c>
      <c r="O153" s="14" t="inlineStr">
        <is>
          <t>Interposing relay IR21, contact in the breaker or switch control circuit</t>
        </is>
      </c>
      <c r="P153" s="14" t="inlineStr">
        <is>
          <t>IR21</t>
        </is>
      </c>
    </row>
    <row r="154" ht="15" customHeight="1">
      <c r="A154" s="14" t="inlineStr">
        <is>
          <t>PRS-CB-CLOSE-CMD</t>
        </is>
      </c>
      <c r="B154" s="14" t="inlineStr">
        <is>
          <t>Close transformer breaker</t>
        </is>
      </c>
      <c r="C154" s="14" t="inlineStr">
        <is>
          <t>President station RMU</t>
        </is>
      </c>
      <c r="D154" s="14" t="inlineStr">
        <is>
          <t>DO</t>
        </is>
      </c>
      <c r="E154" s="14" t="inlineStr">
        <is>
          <t>Pulse</t>
        </is>
      </c>
      <c r="F154" s="14" t="inlineStr">
        <is>
          <t>-</t>
        </is>
      </c>
      <c r="G154" s="14" t="inlineStr">
        <is>
          <t>Operator</t>
        </is>
      </c>
      <c r="H154" s="14" t="n">
        <v>3</v>
      </c>
      <c r="I154" s="14" t="inlineStr">
        <is>
          <t>R3-CO01</t>
        </is>
      </c>
      <c r="J154" s="14" t="n">
        <v>6</v>
      </c>
      <c r="K154" s="14" t="inlineStr">
        <is>
          <t>PRS</t>
        </is>
      </c>
      <c r="L154" s="14" t="inlineStr">
        <is>
          <t>PRS-DO1</t>
        </is>
      </c>
      <c r="M154" s="14" t="inlineStr">
        <is>
          <t>NTSDDO1602K</t>
        </is>
      </c>
      <c r="N154" s="14" t="n">
        <v>6</v>
      </c>
      <c r="O154" s="14" t="inlineStr">
        <is>
          <t>Interposing relay IR22, contact in the breaker or switch control circuit</t>
        </is>
      </c>
      <c r="P154" s="14" t="inlineStr">
        <is>
          <t>IR22</t>
        </is>
      </c>
    </row>
    <row r="155" ht="15" customHeight="1">
      <c r="A155" s="14" t="inlineStr">
        <is>
          <t>PRS-LV-INC-OPEN-CMD</t>
        </is>
      </c>
      <c r="B155" s="14" t="inlineStr">
        <is>
          <t>Open LV incomer</t>
        </is>
      </c>
      <c r="C155" s="14" t="inlineStr">
        <is>
          <t>President station LVDB</t>
        </is>
      </c>
      <c r="D155" s="14" t="inlineStr">
        <is>
          <t>DO</t>
        </is>
      </c>
      <c r="E155" s="14" t="inlineStr">
        <is>
          <t>Pulse</t>
        </is>
      </c>
      <c r="F155" s="14" t="inlineStr">
        <is>
          <t>-</t>
        </is>
      </c>
      <c r="G155" s="14" t="inlineStr">
        <is>
          <t>Operator</t>
        </is>
      </c>
      <c r="H155" s="14" t="n">
        <v>3</v>
      </c>
      <c r="I155" s="14" t="inlineStr">
        <is>
          <t>R3-CO01</t>
        </is>
      </c>
      <c r="J155" s="14" t="n">
        <v>7</v>
      </c>
      <c r="K155" s="14" t="inlineStr">
        <is>
          <t>PRS</t>
        </is>
      </c>
      <c r="L155" s="14" t="inlineStr">
        <is>
          <t>PRS-DO1</t>
        </is>
      </c>
      <c r="M155" s="14" t="inlineStr">
        <is>
          <t>NTSDDO1602K</t>
        </is>
      </c>
      <c r="N155" s="14" t="n">
        <v>7</v>
      </c>
      <c r="O155" s="14" t="inlineStr">
        <is>
          <t>Interposing relay IR23, contact in the breaker or switch control circuit</t>
        </is>
      </c>
      <c r="P155" s="14" t="inlineStr">
        <is>
          <t>IR23</t>
        </is>
      </c>
    </row>
    <row r="156" ht="15" customHeight="1">
      <c r="A156" s="14" t="inlineStr">
        <is>
          <t>PRS-LV-INC-CLOSE-CMD</t>
        </is>
      </c>
      <c r="B156" s="14" t="inlineStr">
        <is>
          <t>Close LV incomer</t>
        </is>
      </c>
      <c r="C156" s="14" t="inlineStr">
        <is>
          <t>President station LVDB</t>
        </is>
      </c>
      <c r="D156" s="14" t="inlineStr">
        <is>
          <t>DO</t>
        </is>
      </c>
      <c r="E156" s="14" t="inlineStr">
        <is>
          <t>Pulse</t>
        </is>
      </c>
      <c r="F156" s="14" t="inlineStr">
        <is>
          <t>-</t>
        </is>
      </c>
      <c r="G156" s="14" t="inlineStr">
        <is>
          <t>Operator</t>
        </is>
      </c>
      <c r="H156" s="14" t="n">
        <v>3</v>
      </c>
      <c r="I156" s="14" t="inlineStr">
        <is>
          <t>R3-CO01</t>
        </is>
      </c>
      <c r="J156" s="14" t="n">
        <v>8</v>
      </c>
      <c r="K156" s="14" t="inlineStr">
        <is>
          <t>PRS</t>
        </is>
      </c>
      <c r="L156" s="14" t="inlineStr">
        <is>
          <t>PRS-DO1</t>
        </is>
      </c>
      <c r="M156" s="14" t="inlineStr">
        <is>
          <t>NTSDDO1602K</t>
        </is>
      </c>
      <c r="N156" s="14" t="n">
        <v>8</v>
      </c>
      <c r="O156" s="14" t="inlineStr">
        <is>
          <t>Interposing relay IR24, contact in the breaker or switch control circuit</t>
        </is>
      </c>
      <c r="P156" s="14" t="inlineStr">
        <is>
          <t>IR24</t>
        </is>
      </c>
    </row>
    <row r="157" ht="15" customHeight="1">
      <c r="A157" s="14" t="inlineStr">
        <is>
          <t>PMS-RS1-OPEN</t>
        </is>
      </c>
      <c r="B157" s="14" t="inlineStr">
        <is>
          <t>Ring switch 1 open</t>
        </is>
      </c>
      <c r="C157" s="14" t="inlineStr">
        <is>
          <t>Prime Minister station RMU</t>
        </is>
      </c>
      <c r="D157" s="14" t="inlineStr">
        <is>
          <t>DI</t>
        </is>
      </c>
      <c r="E157" s="14" t="inlineStr">
        <is>
          <t>Status</t>
        </is>
      </c>
      <c r="F157" s="14" t="inlineStr">
        <is>
          <t>Status</t>
        </is>
      </c>
      <c r="G157" s="14" t="inlineStr">
        <is>
          <t>-</t>
        </is>
      </c>
      <c r="H157" s="14" t="n">
        <v>4</v>
      </c>
      <c r="I157" s="14" t="inlineStr">
        <is>
          <t>R4-DI01</t>
        </is>
      </c>
      <c r="J157" s="14" t="n">
        <v>1</v>
      </c>
      <c r="K157" s="14" t="inlineStr">
        <is>
          <t>PMS</t>
        </is>
      </c>
      <c r="L157" s="14" t="inlineStr">
        <is>
          <t>PMS-DI1</t>
        </is>
      </c>
      <c r="M157" s="14" t="inlineStr">
        <is>
          <t>NTSDDI1602XK</t>
        </is>
      </c>
      <c r="N157" s="14" t="n">
        <v>1</v>
      </c>
      <c r="O157" s="14" t="inlineStr">
        <is>
          <t>Dry contact, wetted 24 V DC from the panel supply</t>
        </is>
      </c>
      <c r="P157" s="14" t="inlineStr"/>
    </row>
    <row r="158" ht="15" customHeight="1">
      <c r="A158" s="14" t="inlineStr">
        <is>
          <t>PMS-RS1-CLSD</t>
        </is>
      </c>
      <c r="B158" s="14" t="inlineStr">
        <is>
          <t>Ring switch 1 closed</t>
        </is>
      </c>
      <c r="C158" s="14" t="inlineStr">
        <is>
          <t>Prime Minister station RMU</t>
        </is>
      </c>
      <c r="D158" s="14" t="inlineStr">
        <is>
          <t>DI</t>
        </is>
      </c>
      <c r="E158" s="14" t="inlineStr">
        <is>
          <t>Status</t>
        </is>
      </c>
      <c r="F158" s="14" t="inlineStr">
        <is>
          <t>Status</t>
        </is>
      </c>
      <c r="G158" s="14" t="inlineStr">
        <is>
          <t>-</t>
        </is>
      </c>
      <c r="H158" s="14" t="n">
        <v>4</v>
      </c>
      <c r="I158" s="14" t="inlineStr">
        <is>
          <t>R4-DI01</t>
        </is>
      </c>
      <c r="J158" s="14" t="n">
        <v>2</v>
      </c>
      <c r="K158" s="14" t="inlineStr">
        <is>
          <t>PMS</t>
        </is>
      </c>
      <c r="L158" s="14" t="inlineStr">
        <is>
          <t>PMS-DI1</t>
        </is>
      </c>
      <c r="M158" s="14" t="inlineStr">
        <is>
          <t>NTSDDI1602XK</t>
        </is>
      </c>
      <c r="N158" s="14" t="n">
        <v>2</v>
      </c>
      <c r="O158" s="14" t="inlineStr">
        <is>
          <t>Dry contact, wetted 24 V DC from the panel supply</t>
        </is>
      </c>
      <c r="P158" s="14" t="inlineStr"/>
    </row>
    <row r="159" ht="15" customHeight="1">
      <c r="A159" s="14" t="inlineStr">
        <is>
          <t>PMS-RS1-ES</t>
        </is>
      </c>
      <c r="B159" s="14" t="inlineStr">
        <is>
          <t>Ring switch 1 earth switch closed</t>
        </is>
      </c>
      <c r="C159" s="14" t="inlineStr">
        <is>
          <t>Prime Minister station RMU</t>
        </is>
      </c>
      <c r="D159" s="14" t="inlineStr">
        <is>
          <t>DI</t>
        </is>
      </c>
      <c r="E159" s="14" t="inlineStr">
        <is>
          <t>Status</t>
        </is>
      </c>
      <c r="F159" s="14" t="inlineStr">
        <is>
          <t>Status</t>
        </is>
      </c>
      <c r="G159" s="14" t="inlineStr">
        <is>
          <t>-</t>
        </is>
      </c>
      <c r="H159" s="14" t="n">
        <v>4</v>
      </c>
      <c r="I159" s="14" t="inlineStr">
        <is>
          <t>R4-DI01</t>
        </is>
      </c>
      <c r="J159" s="14" t="n">
        <v>3</v>
      </c>
      <c r="K159" s="14" t="inlineStr">
        <is>
          <t>PMS</t>
        </is>
      </c>
      <c r="L159" s="14" t="inlineStr">
        <is>
          <t>PMS-DI1</t>
        </is>
      </c>
      <c r="M159" s="14" t="inlineStr">
        <is>
          <t>NTSDDI1602XK</t>
        </is>
      </c>
      <c r="N159" s="14" t="n">
        <v>3</v>
      </c>
      <c r="O159" s="14" t="inlineStr">
        <is>
          <t>Dry contact, wetted 24 V DC from the panel supply</t>
        </is>
      </c>
      <c r="P159" s="14" t="inlineStr"/>
    </row>
    <row r="160" ht="15" customHeight="1">
      <c r="A160" s="14" t="inlineStr">
        <is>
          <t>PMS-RS2-OPEN</t>
        </is>
      </c>
      <c r="B160" s="14" t="inlineStr">
        <is>
          <t>Ring switch 2 open</t>
        </is>
      </c>
      <c r="C160" s="14" t="inlineStr">
        <is>
          <t>Prime Minister station RMU</t>
        </is>
      </c>
      <c r="D160" s="14" t="inlineStr">
        <is>
          <t>DI</t>
        </is>
      </c>
      <c r="E160" s="14" t="inlineStr">
        <is>
          <t>Status</t>
        </is>
      </c>
      <c r="F160" s="14" t="inlineStr">
        <is>
          <t>Status</t>
        </is>
      </c>
      <c r="G160" s="14" t="inlineStr">
        <is>
          <t>-</t>
        </is>
      </c>
      <c r="H160" s="14" t="n">
        <v>4</v>
      </c>
      <c r="I160" s="14" t="inlineStr">
        <is>
          <t>R4-DI01</t>
        </is>
      </c>
      <c r="J160" s="14" t="n">
        <v>4</v>
      </c>
      <c r="K160" s="14" t="inlineStr">
        <is>
          <t>PMS</t>
        </is>
      </c>
      <c r="L160" s="14" t="inlineStr">
        <is>
          <t>PMS-DI1</t>
        </is>
      </c>
      <c r="M160" s="14" t="inlineStr">
        <is>
          <t>NTSDDI1602XK</t>
        </is>
      </c>
      <c r="N160" s="14" t="n">
        <v>4</v>
      </c>
      <c r="O160" s="14" t="inlineStr">
        <is>
          <t>Dry contact, wetted 24 V DC from the panel supply</t>
        </is>
      </c>
      <c r="P160" s="14" t="inlineStr"/>
    </row>
    <row r="161" ht="15" customHeight="1">
      <c r="A161" s="14" t="inlineStr">
        <is>
          <t>PMS-RS2-CLSD</t>
        </is>
      </c>
      <c r="B161" s="14" t="inlineStr">
        <is>
          <t>Ring switch 2 closed</t>
        </is>
      </c>
      <c r="C161" s="14" t="inlineStr">
        <is>
          <t>Prime Minister station RMU</t>
        </is>
      </c>
      <c r="D161" s="14" t="inlineStr">
        <is>
          <t>DI</t>
        </is>
      </c>
      <c r="E161" s="14" t="inlineStr">
        <is>
          <t>Status</t>
        </is>
      </c>
      <c r="F161" s="14" t="inlineStr">
        <is>
          <t>Status</t>
        </is>
      </c>
      <c r="G161" s="14" t="inlineStr">
        <is>
          <t>-</t>
        </is>
      </c>
      <c r="H161" s="14" t="n">
        <v>4</v>
      </c>
      <c r="I161" s="14" t="inlineStr">
        <is>
          <t>R4-DI01</t>
        </is>
      </c>
      <c r="J161" s="14" t="n">
        <v>5</v>
      </c>
      <c r="K161" s="14" t="inlineStr">
        <is>
          <t>PMS</t>
        </is>
      </c>
      <c r="L161" s="14" t="inlineStr">
        <is>
          <t>PMS-DI1</t>
        </is>
      </c>
      <c r="M161" s="14" t="inlineStr">
        <is>
          <t>NTSDDI1602XK</t>
        </is>
      </c>
      <c r="N161" s="14" t="n">
        <v>5</v>
      </c>
      <c r="O161" s="14" t="inlineStr">
        <is>
          <t>Dry contact, wetted 24 V DC from the panel supply</t>
        </is>
      </c>
      <c r="P161" s="14" t="inlineStr"/>
    </row>
    <row r="162" ht="15" customHeight="1">
      <c r="A162" s="14" t="inlineStr">
        <is>
          <t>PMS-RS2-ES</t>
        </is>
      </c>
      <c r="B162" s="14" t="inlineStr">
        <is>
          <t>Ring switch 2 earth switch closed</t>
        </is>
      </c>
      <c r="C162" s="14" t="inlineStr">
        <is>
          <t>Prime Minister station RMU</t>
        </is>
      </c>
      <c r="D162" s="14" t="inlineStr">
        <is>
          <t>DI</t>
        </is>
      </c>
      <c r="E162" s="14" t="inlineStr">
        <is>
          <t>Status</t>
        </is>
      </c>
      <c r="F162" s="14" t="inlineStr">
        <is>
          <t>Status</t>
        </is>
      </c>
      <c r="G162" s="14" t="inlineStr">
        <is>
          <t>-</t>
        </is>
      </c>
      <c r="H162" s="14" t="n">
        <v>4</v>
      </c>
      <c r="I162" s="14" t="inlineStr">
        <is>
          <t>R4-DI01</t>
        </is>
      </c>
      <c r="J162" s="14" t="n">
        <v>6</v>
      </c>
      <c r="K162" s="14" t="inlineStr">
        <is>
          <t>PMS</t>
        </is>
      </c>
      <c r="L162" s="14" t="inlineStr">
        <is>
          <t>PMS-DI1</t>
        </is>
      </c>
      <c r="M162" s="14" t="inlineStr">
        <is>
          <t>NTSDDI1602XK</t>
        </is>
      </c>
      <c r="N162" s="14" t="n">
        <v>6</v>
      </c>
      <c r="O162" s="14" t="inlineStr">
        <is>
          <t>Dry contact, wetted 24 V DC from the panel supply</t>
        </is>
      </c>
      <c r="P162" s="14" t="inlineStr"/>
    </row>
    <row r="163" ht="15" customHeight="1">
      <c r="A163" s="14" t="inlineStr">
        <is>
          <t>PMS-CB-OPEN</t>
        </is>
      </c>
      <c r="B163" s="14" t="inlineStr">
        <is>
          <t>Transformer breaker open</t>
        </is>
      </c>
      <c r="C163" s="14" t="inlineStr">
        <is>
          <t>Prime Minister station RMU</t>
        </is>
      </c>
      <c r="D163" s="14" t="inlineStr">
        <is>
          <t>DI</t>
        </is>
      </c>
      <c r="E163" s="14" t="inlineStr">
        <is>
          <t>Status</t>
        </is>
      </c>
      <c r="F163" s="14" t="inlineStr">
        <is>
          <t>Status</t>
        </is>
      </c>
      <c r="G163" s="14" t="inlineStr">
        <is>
          <t>-</t>
        </is>
      </c>
      <c r="H163" s="14" t="n">
        <v>4</v>
      </c>
      <c r="I163" s="14" t="inlineStr">
        <is>
          <t>R4-DI01</t>
        </is>
      </c>
      <c r="J163" s="14" t="n">
        <v>7</v>
      </c>
      <c r="K163" s="14" t="inlineStr">
        <is>
          <t>PMS</t>
        </is>
      </c>
      <c r="L163" s="14" t="inlineStr">
        <is>
          <t>PMS-DI1</t>
        </is>
      </c>
      <c r="M163" s="14" t="inlineStr">
        <is>
          <t>NTSDDI1602XK</t>
        </is>
      </c>
      <c r="N163" s="14" t="n">
        <v>7</v>
      </c>
      <c r="O163" s="14" t="inlineStr">
        <is>
          <t>Dry contact, wetted 24 V DC from the panel supply</t>
        </is>
      </c>
      <c r="P163" s="14" t="inlineStr"/>
    </row>
    <row r="164" ht="15" customHeight="1">
      <c r="A164" s="14" t="inlineStr">
        <is>
          <t>PMS-CB-CLSD</t>
        </is>
      </c>
      <c r="B164" s="14" t="inlineStr">
        <is>
          <t>Transformer breaker closed</t>
        </is>
      </c>
      <c r="C164" s="14" t="inlineStr">
        <is>
          <t>Prime Minister station RMU</t>
        </is>
      </c>
      <c r="D164" s="14" t="inlineStr">
        <is>
          <t>DI</t>
        </is>
      </c>
      <c r="E164" s="14" t="inlineStr">
        <is>
          <t>Status</t>
        </is>
      </c>
      <c r="F164" s="14" t="inlineStr">
        <is>
          <t>Status</t>
        </is>
      </c>
      <c r="G164" s="14" t="inlineStr">
        <is>
          <t>-</t>
        </is>
      </c>
      <c r="H164" s="14" t="n">
        <v>4</v>
      </c>
      <c r="I164" s="14" t="inlineStr">
        <is>
          <t>R4-DI01</t>
        </is>
      </c>
      <c r="J164" s="14" t="n">
        <v>8</v>
      </c>
      <c r="K164" s="14" t="inlineStr">
        <is>
          <t>PMS</t>
        </is>
      </c>
      <c r="L164" s="14" t="inlineStr">
        <is>
          <t>PMS-DI1</t>
        </is>
      </c>
      <c r="M164" s="14" t="inlineStr">
        <is>
          <t>NTSDDI1602XK</t>
        </is>
      </c>
      <c r="N164" s="14" t="n">
        <v>8</v>
      </c>
      <c r="O164" s="14" t="inlineStr">
        <is>
          <t>Dry contact, wetted 24 V DC from the panel supply</t>
        </is>
      </c>
      <c r="P164" s="14" t="inlineStr"/>
    </row>
    <row r="165" ht="15" customHeight="1">
      <c r="A165" s="14" t="inlineStr">
        <is>
          <t>PMS-CB-ES</t>
        </is>
      </c>
      <c r="B165" s="14" t="inlineStr">
        <is>
          <t>Transformer breaker earth switch closed</t>
        </is>
      </c>
      <c r="C165" s="14" t="inlineStr">
        <is>
          <t>Prime Minister station RMU</t>
        </is>
      </c>
      <c r="D165" s="14" t="inlineStr">
        <is>
          <t>DI</t>
        </is>
      </c>
      <c r="E165" s="14" t="inlineStr">
        <is>
          <t>Status</t>
        </is>
      </c>
      <c r="F165" s="14" t="inlineStr">
        <is>
          <t>Status</t>
        </is>
      </c>
      <c r="G165" s="14" t="inlineStr">
        <is>
          <t>-</t>
        </is>
      </c>
      <c r="H165" s="14" t="n">
        <v>4</v>
      </c>
      <c r="I165" s="14" t="inlineStr">
        <is>
          <t>R4-DI01</t>
        </is>
      </c>
      <c r="J165" s="14" t="n">
        <v>9</v>
      </c>
      <c r="K165" s="14" t="inlineStr">
        <is>
          <t>PMS</t>
        </is>
      </c>
      <c r="L165" s="14" t="inlineStr">
        <is>
          <t>PMS-DI1</t>
        </is>
      </c>
      <c r="M165" s="14" t="inlineStr">
        <is>
          <t>NTSDDI1602XK</t>
        </is>
      </c>
      <c r="N165" s="14" t="n">
        <v>9</v>
      </c>
      <c r="O165" s="14" t="inlineStr">
        <is>
          <t>Dry contact, wetted 24 V DC from the panel supply</t>
        </is>
      </c>
      <c r="P165" s="14" t="inlineStr"/>
    </row>
    <row r="166" ht="15" customHeight="1">
      <c r="A166" s="14" t="inlineStr">
        <is>
          <t>PMS-CB-TRIP</t>
        </is>
      </c>
      <c r="B166" s="14" t="inlineStr">
        <is>
          <t>Transformer breaker tripped by ST260E</t>
        </is>
      </c>
      <c r="C166" s="14" t="inlineStr">
        <is>
          <t>Prime Minister station RMU</t>
        </is>
      </c>
      <c r="D166" s="14" t="inlineStr">
        <is>
          <t>DI</t>
        </is>
      </c>
      <c r="E166" s="14" t="inlineStr">
        <is>
          <t>Normally open</t>
        </is>
      </c>
      <c r="F166" s="14" t="inlineStr">
        <is>
          <t>1</t>
        </is>
      </c>
      <c r="G166" s="14" t="inlineStr">
        <is>
          <t>-</t>
        </is>
      </c>
      <c r="H166" s="14" t="n">
        <v>4</v>
      </c>
      <c r="I166" s="14" t="inlineStr">
        <is>
          <t>R4-DI01</t>
        </is>
      </c>
      <c r="J166" s="14" t="n">
        <v>10</v>
      </c>
      <c r="K166" s="14" t="inlineStr">
        <is>
          <t>PMS</t>
        </is>
      </c>
      <c r="L166" s="14" t="inlineStr">
        <is>
          <t>PMS-DI1</t>
        </is>
      </c>
      <c r="M166" s="14" t="inlineStr">
        <is>
          <t>NTSDDI1602XK</t>
        </is>
      </c>
      <c r="N166" s="14" t="n">
        <v>10</v>
      </c>
      <c r="O166" s="14" t="inlineStr">
        <is>
          <t>Dry contact, wetted 24 V DC from the panel supply</t>
        </is>
      </c>
      <c r="P166" s="14" t="inlineStr"/>
    </row>
    <row r="167" ht="15" customHeight="1">
      <c r="A167" s="14" t="inlineStr">
        <is>
          <t>PMS-GAS-LOW</t>
        </is>
      </c>
      <c r="B167" s="14" t="inlineStr">
        <is>
          <t>RMU gas pressure low</t>
        </is>
      </c>
      <c r="C167" s="14" t="inlineStr">
        <is>
          <t>Prime Minister station RMU</t>
        </is>
      </c>
      <c r="D167" s="14" t="inlineStr">
        <is>
          <t>DI</t>
        </is>
      </c>
      <c r="E167" s="14" t="inlineStr">
        <is>
          <t>Normally open</t>
        </is>
      </c>
      <c r="F167" s="14" t="inlineStr">
        <is>
          <t>2</t>
        </is>
      </c>
      <c r="G167" s="14" t="inlineStr">
        <is>
          <t>-</t>
        </is>
      </c>
      <c r="H167" s="14" t="n">
        <v>4</v>
      </c>
      <c r="I167" s="14" t="inlineStr">
        <is>
          <t>R4-DI01</t>
        </is>
      </c>
      <c r="J167" s="14" t="n">
        <v>11</v>
      </c>
      <c r="K167" s="14" t="inlineStr">
        <is>
          <t>PMS</t>
        </is>
      </c>
      <c r="L167" s="14" t="inlineStr">
        <is>
          <t>PMS-DI1</t>
        </is>
      </c>
      <c r="M167" s="14" t="inlineStr">
        <is>
          <t>NTSDDI1602XK</t>
        </is>
      </c>
      <c r="N167" s="14" t="n">
        <v>11</v>
      </c>
      <c r="O167" s="14" t="inlineStr">
        <is>
          <t>Dry contact, wetted 24 V DC from the panel supply</t>
        </is>
      </c>
      <c r="P167" s="14" t="inlineStr"/>
    </row>
    <row r="168" ht="15" customHeight="1">
      <c r="A168" s="14" t="inlineStr">
        <is>
          <t>PMS-LR-REM</t>
        </is>
      </c>
      <c r="B168" s="14" t="inlineStr">
        <is>
          <t>RMU local/remote in remote</t>
        </is>
      </c>
      <c r="C168" s="14" t="inlineStr">
        <is>
          <t>Prime Minister station RMU</t>
        </is>
      </c>
      <c r="D168" s="14" t="inlineStr">
        <is>
          <t>DI</t>
        </is>
      </c>
      <c r="E168" s="14" t="inlineStr">
        <is>
          <t>Status</t>
        </is>
      </c>
      <c r="F168" s="14" t="inlineStr">
        <is>
          <t>Status</t>
        </is>
      </c>
      <c r="G168" s="14" t="inlineStr">
        <is>
          <t>-</t>
        </is>
      </c>
      <c r="H168" s="14" t="n">
        <v>4</v>
      </c>
      <c r="I168" s="14" t="inlineStr">
        <is>
          <t>R4-DI01</t>
        </is>
      </c>
      <c r="J168" s="14" t="n">
        <v>12</v>
      </c>
      <c r="K168" s="14" t="inlineStr">
        <is>
          <t>PMS</t>
        </is>
      </c>
      <c r="L168" s="14" t="inlineStr">
        <is>
          <t>PMS-DI1</t>
        </is>
      </c>
      <c r="M168" s="14" t="inlineStr">
        <is>
          <t>NTSDDI1602XK</t>
        </is>
      </c>
      <c r="N168" s="14" t="n">
        <v>12</v>
      </c>
      <c r="O168" s="14" t="inlineStr">
        <is>
          <t>Dry contact, wetted 24 V DC from the panel supply</t>
        </is>
      </c>
      <c r="P168" s="14" t="inlineStr"/>
    </row>
    <row r="169" ht="15" customHeight="1">
      <c r="A169" s="14" t="inlineStr">
        <is>
          <t>PMS-FPI</t>
        </is>
      </c>
      <c r="B169" s="14" t="inlineStr">
        <is>
          <t>Fault passage indicator operated</t>
        </is>
      </c>
      <c r="C169" s="14" t="inlineStr">
        <is>
          <t>Prime Minister station RMU</t>
        </is>
      </c>
      <c r="D169" s="14" t="inlineStr">
        <is>
          <t>DI</t>
        </is>
      </c>
      <c r="E169" s="14" t="inlineStr">
        <is>
          <t>Normally open</t>
        </is>
      </c>
      <c r="F169" s="14" t="inlineStr">
        <is>
          <t>2</t>
        </is>
      </c>
      <c r="G169" s="14" t="inlineStr">
        <is>
          <t>-</t>
        </is>
      </c>
      <c r="H169" s="14" t="n">
        <v>4</v>
      </c>
      <c r="I169" s="14" t="inlineStr">
        <is>
          <t>R4-DI01</t>
        </is>
      </c>
      <c r="J169" s="14" t="n">
        <v>13</v>
      </c>
      <c r="K169" s="14" t="inlineStr">
        <is>
          <t>PMS</t>
        </is>
      </c>
      <c r="L169" s="14" t="inlineStr">
        <is>
          <t>PMS-DI2</t>
        </is>
      </c>
      <c r="M169" s="14" t="inlineStr">
        <is>
          <t>NTSDDI1602XK</t>
        </is>
      </c>
      <c r="N169" s="14" t="n">
        <v>1</v>
      </c>
      <c r="O169" s="14" t="inlineStr">
        <is>
          <t>Dry contact, wetted 24 V DC from the panel supply</t>
        </is>
      </c>
      <c r="P169" s="14" t="inlineStr"/>
    </row>
    <row r="170" ht="15" customHeight="1">
      <c r="A170" s="14" t="inlineStr">
        <is>
          <t>PMS-TX-OT-ALM</t>
        </is>
      </c>
      <c r="B170" s="14" t="inlineStr">
        <is>
          <t>Oil temperature alarm</t>
        </is>
      </c>
      <c r="C170" s="14" t="inlineStr">
        <is>
          <t>Prime Minister station transformer 630 kVA</t>
        </is>
      </c>
      <c r="D170" s="14" t="inlineStr">
        <is>
          <t>DI</t>
        </is>
      </c>
      <c r="E170" s="14" t="inlineStr">
        <is>
          <t>Normally open</t>
        </is>
      </c>
      <c r="F170" s="14" t="inlineStr">
        <is>
          <t>3</t>
        </is>
      </c>
      <c r="G170" s="14" t="inlineStr">
        <is>
          <t>-</t>
        </is>
      </c>
      <c r="H170" s="14" t="n">
        <v>4</v>
      </c>
      <c r="I170" s="14" t="inlineStr">
        <is>
          <t>R4-DI01</t>
        </is>
      </c>
      <c r="J170" s="14" t="n">
        <v>14</v>
      </c>
      <c r="K170" s="14" t="inlineStr">
        <is>
          <t>PMS</t>
        </is>
      </c>
      <c r="L170" s="14" t="inlineStr">
        <is>
          <t>PMS-DI2</t>
        </is>
      </c>
      <c r="M170" s="14" t="inlineStr">
        <is>
          <t>NTSDDI1602XK</t>
        </is>
      </c>
      <c r="N170" s="14" t="n">
        <v>2</v>
      </c>
      <c r="O170" s="14" t="inlineStr">
        <is>
          <t>Dry contact, wetted 24 V DC from the panel supply</t>
        </is>
      </c>
      <c r="P170" s="14" t="inlineStr"/>
    </row>
    <row r="171" ht="15" customHeight="1">
      <c r="A171" s="14" t="inlineStr">
        <is>
          <t>PMS-TX-OT-TRIP</t>
        </is>
      </c>
      <c r="B171" s="14" t="inlineStr">
        <is>
          <t>Oil temperature trip</t>
        </is>
      </c>
      <c r="C171" s="14" t="inlineStr">
        <is>
          <t>Prime Minister station transformer 630 kVA</t>
        </is>
      </c>
      <c r="D171" s="14" t="inlineStr">
        <is>
          <t>DI</t>
        </is>
      </c>
      <c r="E171" s="14" t="inlineStr">
        <is>
          <t>Normally open</t>
        </is>
      </c>
      <c r="F171" s="14" t="inlineStr">
        <is>
          <t>1</t>
        </is>
      </c>
      <c r="G171" s="14" t="inlineStr">
        <is>
          <t>-</t>
        </is>
      </c>
      <c r="H171" s="14" t="n">
        <v>4</v>
      </c>
      <c r="I171" s="14" t="inlineStr">
        <is>
          <t>R4-DI01</t>
        </is>
      </c>
      <c r="J171" s="14" t="n">
        <v>15</v>
      </c>
      <c r="K171" s="14" t="inlineStr">
        <is>
          <t>PMS</t>
        </is>
      </c>
      <c r="L171" s="14" t="inlineStr">
        <is>
          <t>PMS-DI2</t>
        </is>
      </c>
      <c r="M171" s="14" t="inlineStr">
        <is>
          <t>NTSDDI1602XK</t>
        </is>
      </c>
      <c r="N171" s="14" t="n">
        <v>3</v>
      </c>
      <c r="O171" s="14" t="inlineStr">
        <is>
          <t>Dry contact, wetted 24 V DC from the panel supply</t>
        </is>
      </c>
      <c r="P171" s="14" t="inlineStr"/>
    </row>
    <row r="172" ht="15" customHeight="1">
      <c r="A172" s="14" t="inlineStr">
        <is>
          <t>PMS-TX-WT-ALM</t>
        </is>
      </c>
      <c r="B172" s="14" t="inlineStr">
        <is>
          <t>Winding temperature alarm</t>
        </is>
      </c>
      <c r="C172" s="14" t="inlineStr">
        <is>
          <t>Prime Minister station transformer 630 kVA</t>
        </is>
      </c>
      <c r="D172" s="14" t="inlineStr">
        <is>
          <t>DI</t>
        </is>
      </c>
      <c r="E172" s="14" t="inlineStr">
        <is>
          <t>Normally open</t>
        </is>
      </c>
      <c r="F172" s="14" t="inlineStr">
        <is>
          <t>3</t>
        </is>
      </c>
      <c r="G172" s="14" t="inlineStr">
        <is>
          <t>-</t>
        </is>
      </c>
      <c r="H172" s="14" t="n">
        <v>4</v>
      </c>
      <c r="I172" s="14" t="inlineStr">
        <is>
          <t>R4-DI01</t>
        </is>
      </c>
      <c r="J172" s="14" t="n">
        <v>16</v>
      </c>
      <c r="K172" s="14" t="inlineStr">
        <is>
          <t>PMS</t>
        </is>
      </c>
      <c r="L172" s="14" t="inlineStr">
        <is>
          <t>PMS-DI2</t>
        </is>
      </c>
      <c r="M172" s="14" t="inlineStr">
        <is>
          <t>NTSDDI1602XK</t>
        </is>
      </c>
      <c r="N172" s="14" t="n">
        <v>4</v>
      </c>
      <c r="O172" s="14" t="inlineStr">
        <is>
          <t>Dry contact, wetted 24 V DC from the panel supply</t>
        </is>
      </c>
      <c r="P172" s="14" t="inlineStr"/>
    </row>
    <row r="173" ht="15" customHeight="1">
      <c r="A173" s="14" t="inlineStr">
        <is>
          <t>PMS-TX-WT-TRIP</t>
        </is>
      </c>
      <c r="B173" s="14" t="inlineStr">
        <is>
          <t>Winding temperature trip</t>
        </is>
      </c>
      <c r="C173" s="14" t="inlineStr">
        <is>
          <t>Prime Minister station transformer 630 kVA</t>
        </is>
      </c>
      <c r="D173" s="14" t="inlineStr">
        <is>
          <t>DI</t>
        </is>
      </c>
      <c r="E173" s="14" t="inlineStr">
        <is>
          <t>Normally open</t>
        </is>
      </c>
      <c r="F173" s="14" t="inlineStr">
        <is>
          <t>1</t>
        </is>
      </c>
      <c r="G173" s="14" t="inlineStr">
        <is>
          <t>-</t>
        </is>
      </c>
      <c r="H173" s="14" t="n">
        <v>4</v>
      </c>
      <c r="I173" s="14" t="inlineStr">
        <is>
          <t>R4-DI02</t>
        </is>
      </c>
      <c r="J173" s="14" t="n">
        <v>1</v>
      </c>
      <c r="K173" s="14" t="inlineStr">
        <is>
          <t>PMS</t>
        </is>
      </c>
      <c r="L173" s="14" t="inlineStr">
        <is>
          <t>PMS-DI2</t>
        </is>
      </c>
      <c r="M173" s="14" t="inlineStr">
        <is>
          <t>NTSDDI1602XK</t>
        </is>
      </c>
      <c r="N173" s="14" t="n">
        <v>5</v>
      </c>
      <c r="O173" s="14" t="inlineStr">
        <is>
          <t>Dry contact, wetted 24 V DC from the panel supply</t>
        </is>
      </c>
      <c r="P173" s="14" t="inlineStr"/>
    </row>
    <row r="174" ht="15" customHeight="1">
      <c r="A174" s="14" t="inlineStr">
        <is>
          <t>PMS-TX-PRD</t>
        </is>
      </c>
      <c r="B174" s="14" t="inlineStr">
        <is>
          <t>Pressure relief device operated</t>
        </is>
      </c>
      <c r="C174" s="14" t="inlineStr">
        <is>
          <t>Prime Minister station transformer 630 kVA</t>
        </is>
      </c>
      <c r="D174" s="14" t="inlineStr">
        <is>
          <t>DI</t>
        </is>
      </c>
      <c r="E174" s="14" t="inlineStr">
        <is>
          <t>Normally open</t>
        </is>
      </c>
      <c r="F174" s="14" t="inlineStr">
        <is>
          <t>1</t>
        </is>
      </c>
      <c r="G174" s="14" t="inlineStr">
        <is>
          <t>-</t>
        </is>
      </c>
      <c r="H174" s="14" t="n">
        <v>4</v>
      </c>
      <c r="I174" s="14" t="inlineStr">
        <is>
          <t>R4-DI02</t>
        </is>
      </c>
      <c r="J174" s="14" t="n">
        <v>2</v>
      </c>
      <c r="K174" s="14" t="inlineStr">
        <is>
          <t>PMS</t>
        </is>
      </c>
      <c r="L174" s="14" t="inlineStr">
        <is>
          <t>PMS-DI2</t>
        </is>
      </c>
      <c r="M174" s="14" t="inlineStr">
        <is>
          <t>NTSDDI1602XK</t>
        </is>
      </c>
      <c r="N174" s="14" t="n">
        <v>6</v>
      </c>
      <c r="O174" s="14" t="inlineStr">
        <is>
          <t>Dry contact, wetted 24 V DC from the panel supply</t>
        </is>
      </c>
      <c r="P174" s="14" t="inlineStr"/>
    </row>
    <row r="175" ht="15" customHeight="1">
      <c r="A175" s="14" t="inlineStr">
        <is>
          <t>PMS-TX-OL-LOW</t>
        </is>
      </c>
      <c r="B175" s="14" t="inlineStr">
        <is>
          <t>Oil level low</t>
        </is>
      </c>
      <c r="C175" s="14" t="inlineStr">
        <is>
          <t>Prime Minister station transformer 630 kVA</t>
        </is>
      </c>
      <c r="D175" s="14" t="inlineStr">
        <is>
          <t>DI</t>
        </is>
      </c>
      <c r="E175" s="14" t="inlineStr">
        <is>
          <t>Normally open</t>
        </is>
      </c>
      <c r="F175" s="14" t="inlineStr">
        <is>
          <t>2</t>
        </is>
      </c>
      <c r="G175" s="14" t="inlineStr">
        <is>
          <t>-</t>
        </is>
      </c>
      <c r="H175" s="14" t="n">
        <v>4</v>
      </c>
      <c r="I175" s="14" t="inlineStr">
        <is>
          <t>R4-DI02</t>
        </is>
      </c>
      <c r="J175" s="14" t="n">
        <v>3</v>
      </c>
      <c r="K175" s="14" t="inlineStr">
        <is>
          <t>PMS</t>
        </is>
      </c>
      <c r="L175" s="14" t="inlineStr">
        <is>
          <t>PMS-DI2</t>
        </is>
      </c>
      <c r="M175" s="14" t="inlineStr">
        <is>
          <t>NTSDDI1602XK</t>
        </is>
      </c>
      <c r="N175" s="14" t="n">
        <v>7</v>
      </c>
      <c r="O175" s="14" t="inlineStr">
        <is>
          <t>Dry contact, wetted 24 V DC from the panel supply</t>
        </is>
      </c>
      <c r="P175" s="14" t="inlineStr"/>
    </row>
    <row r="176" ht="15" customHeight="1">
      <c r="A176" s="14" t="inlineStr">
        <is>
          <t>PMS-LV-INC-CLSD</t>
        </is>
      </c>
      <c r="B176" s="14" t="inlineStr">
        <is>
          <t>LV incomer closed</t>
        </is>
      </c>
      <c r="C176" s="14" t="inlineStr">
        <is>
          <t>Prime Minister station LVDB</t>
        </is>
      </c>
      <c r="D176" s="14" t="inlineStr">
        <is>
          <t>DI</t>
        </is>
      </c>
      <c r="E176" s="14" t="inlineStr">
        <is>
          <t>Status</t>
        </is>
      </c>
      <c r="F176" s="14" t="inlineStr">
        <is>
          <t>Status</t>
        </is>
      </c>
      <c r="G176" s="14" t="inlineStr">
        <is>
          <t>-</t>
        </is>
      </c>
      <c r="H176" s="14" t="n">
        <v>4</v>
      </c>
      <c r="I176" s="14" t="inlineStr">
        <is>
          <t>R4-DI02</t>
        </is>
      </c>
      <c r="J176" s="14" t="n">
        <v>4</v>
      </c>
      <c r="K176" s="14" t="inlineStr">
        <is>
          <t>PMS</t>
        </is>
      </c>
      <c r="L176" s="14" t="inlineStr">
        <is>
          <t>PMS-DI2</t>
        </is>
      </c>
      <c r="M176" s="14" t="inlineStr">
        <is>
          <t>NTSDDI1602XK</t>
        </is>
      </c>
      <c r="N176" s="14" t="n">
        <v>8</v>
      </c>
      <c r="O176" s="14" t="inlineStr">
        <is>
          <t>Dry contact, wetted 24 V DC from the panel supply</t>
        </is>
      </c>
      <c r="P176" s="14" t="inlineStr"/>
    </row>
    <row r="177" ht="15" customHeight="1">
      <c r="A177" s="14" t="inlineStr">
        <is>
          <t>PMS-LV-INC-TRIP</t>
        </is>
      </c>
      <c r="B177" s="14" t="inlineStr">
        <is>
          <t>LV incomer tripped</t>
        </is>
      </c>
      <c r="C177" s="14" t="inlineStr">
        <is>
          <t>Prime Minister station LVDB</t>
        </is>
      </c>
      <c r="D177" s="14" t="inlineStr">
        <is>
          <t>DI</t>
        </is>
      </c>
      <c r="E177" s="14" t="inlineStr">
        <is>
          <t>Normally open</t>
        </is>
      </c>
      <c r="F177" s="14" t="inlineStr">
        <is>
          <t>2</t>
        </is>
      </c>
      <c r="G177" s="14" t="inlineStr">
        <is>
          <t>-</t>
        </is>
      </c>
      <c r="H177" s="14" t="n">
        <v>4</v>
      </c>
      <c r="I177" s="14" t="inlineStr">
        <is>
          <t>R4-DI02</t>
        </is>
      </c>
      <c r="J177" s="14" t="n">
        <v>5</v>
      </c>
      <c r="K177" s="14" t="inlineStr">
        <is>
          <t>PMS</t>
        </is>
      </c>
      <c r="L177" s="14" t="inlineStr">
        <is>
          <t>PMS-DI2</t>
        </is>
      </c>
      <c r="M177" s="14" t="inlineStr">
        <is>
          <t>NTSDDI1602XK</t>
        </is>
      </c>
      <c r="N177" s="14" t="n">
        <v>9</v>
      </c>
      <c r="O177" s="14" t="inlineStr">
        <is>
          <t>Dry contact, wetted 24 V DC from the panel supply</t>
        </is>
      </c>
      <c r="P177" s="14" t="inlineStr"/>
    </row>
    <row r="178" ht="15" customHeight="1">
      <c r="A178" s="14" t="inlineStr">
        <is>
          <t>PMS-LV-F01-CLSD</t>
        </is>
      </c>
      <c r="B178" s="14" t="inlineStr">
        <is>
          <t>Outgoing way 1 closed</t>
        </is>
      </c>
      <c r="C178" s="14" t="inlineStr">
        <is>
          <t>Prime Minister station LVDB</t>
        </is>
      </c>
      <c r="D178" s="14" t="inlineStr">
        <is>
          <t>DI</t>
        </is>
      </c>
      <c r="E178" s="14" t="inlineStr">
        <is>
          <t>Status</t>
        </is>
      </c>
      <c r="F178" s="14" t="inlineStr">
        <is>
          <t>Status</t>
        </is>
      </c>
      <c r="G178" s="14" t="inlineStr">
        <is>
          <t>-</t>
        </is>
      </c>
      <c r="H178" s="14" t="n">
        <v>4</v>
      </c>
      <c r="I178" s="14" t="inlineStr">
        <is>
          <t>R4-DI02</t>
        </is>
      </c>
      <c r="J178" s="14" t="n">
        <v>6</v>
      </c>
      <c r="K178" s="14" t="inlineStr">
        <is>
          <t>PMS</t>
        </is>
      </c>
      <c r="L178" s="14" t="inlineStr">
        <is>
          <t>PMS-DI2</t>
        </is>
      </c>
      <c r="M178" s="14" t="inlineStr">
        <is>
          <t>NTSDDI1602XK</t>
        </is>
      </c>
      <c r="N178" s="14" t="n">
        <v>10</v>
      </c>
      <c r="O178" s="14" t="inlineStr">
        <is>
          <t>Dry contact, wetted 24 V DC from the panel supply</t>
        </is>
      </c>
      <c r="P178" s="14" t="inlineStr"/>
    </row>
    <row r="179" ht="15" customHeight="1">
      <c r="A179" s="14" t="inlineStr">
        <is>
          <t>PMS-LV-F02-CLSD</t>
        </is>
      </c>
      <c r="B179" s="14" t="inlineStr">
        <is>
          <t>Outgoing way 2 closed</t>
        </is>
      </c>
      <c r="C179" s="14" t="inlineStr">
        <is>
          <t>Prime Minister station LVDB</t>
        </is>
      </c>
      <c r="D179" s="14" t="inlineStr">
        <is>
          <t>DI</t>
        </is>
      </c>
      <c r="E179" s="14" t="inlineStr">
        <is>
          <t>Status</t>
        </is>
      </c>
      <c r="F179" s="14" t="inlineStr">
        <is>
          <t>Status</t>
        </is>
      </c>
      <c r="G179" s="14" t="inlineStr">
        <is>
          <t>-</t>
        </is>
      </c>
      <c r="H179" s="14" t="n">
        <v>4</v>
      </c>
      <c r="I179" s="14" t="inlineStr">
        <is>
          <t>R4-DI02</t>
        </is>
      </c>
      <c r="J179" s="14" t="n">
        <v>7</v>
      </c>
      <c r="K179" s="14" t="inlineStr">
        <is>
          <t>PMS</t>
        </is>
      </c>
      <c r="L179" s="14" t="inlineStr">
        <is>
          <t>PMS-DI2</t>
        </is>
      </c>
      <c r="M179" s="14" t="inlineStr">
        <is>
          <t>NTSDDI1602XK</t>
        </is>
      </c>
      <c r="N179" s="14" t="n">
        <v>11</v>
      </c>
      <c r="O179" s="14" t="inlineStr">
        <is>
          <t>Dry contact, wetted 24 V DC from the panel supply</t>
        </is>
      </c>
      <c r="P179" s="14" t="inlineStr"/>
    </row>
    <row r="180" ht="15" customHeight="1">
      <c r="A180" s="14" t="inlineStr">
        <is>
          <t>PMS-LV-F03-CLSD</t>
        </is>
      </c>
      <c r="B180" s="14" t="inlineStr">
        <is>
          <t>Outgoing way 3 closed</t>
        </is>
      </c>
      <c r="C180" s="14" t="inlineStr">
        <is>
          <t>Prime Minister station LVDB</t>
        </is>
      </c>
      <c r="D180" s="14" t="inlineStr">
        <is>
          <t>DI</t>
        </is>
      </c>
      <c r="E180" s="14" t="inlineStr">
        <is>
          <t>Status</t>
        </is>
      </c>
      <c r="F180" s="14" t="inlineStr">
        <is>
          <t>Status</t>
        </is>
      </c>
      <c r="G180" s="14" t="inlineStr">
        <is>
          <t>-</t>
        </is>
      </c>
      <c r="H180" s="14" t="n">
        <v>4</v>
      </c>
      <c r="I180" s="14" t="inlineStr">
        <is>
          <t>R4-DI02</t>
        </is>
      </c>
      <c r="J180" s="14" t="n">
        <v>8</v>
      </c>
      <c r="K180" s="14" t="inlineStr">
        <is>
          <t>PMS</t>
        </is>
      </c>
      <c r="L180" s="14" t="inlineStr">
        <is>
          <t>PMS-DI2</t>
        </is>
      </c>
      <c r="M180" s="14" t="inlineStr">
        <is>
          <t>NTSDDI1602XK</t>
        </is>
      </c>
      <c r="N180" s="14" t="n">
        <v>12</v>
      </c>
      <c r="O180" s="14" t="inlineStr">
        <is>
          <t>Dry contact, wetted 24 V DC from the panel supply</t>
        </is>
      </c>
      <c r="P180" s="14" t="inlineStr"/>
    </row>
    <row r="181" ht="15" customHeight="1">
      <c r="A181" s="14" t="inlineStr">
        <is>
          <t>PMS-LV-F04-CLSD</t>
        </is>
      </c>
      <c r="B181" s="14" t="inlineStr">
        <is>
          <t>Outgoing way 4 closed</t>
        </is>
      </c>
      <c r="C181" s="14" t="inlineStr">
        <is>
          <t>Prime Minister station LVDB</t>
        </is>
      </c>
      <c r="D181" s="14" t="inlineStr">
        <is>
          <t>DI</t>
        </is>
      </c>
      <c r="E181" s="14" t="inlineStr">
        <is>
          <t>Status</t>
        </is>
      </c>
      <c r="F181" s="14" t="inlineStr">
        <is>
          <t>Status</t>
        </is>
      </c>
      <c r="G181" s="14" t="inlineStr">
        <is>
          <t>-</t>
        </is>
      </c>
      <c r="H181" s="14" t="n">
        <v>4</v>
      </c>
      <c r="I181" s="14" t="inlineStr">
        <is>
          <t>R4-DI02</t>
        </is>
      </c>
      <c r="J181" s="14" t="n">
        <v>9</v>
      </c>
      <c r="K181" s="14" t="inlineStr">
        <is>
          <t>PMS</t>
        </is>
      </c>
      <c r="L181" s="14" t="inlineStr">
        <is>
          <t>PMS-DI3</t>
        </is>
      </c>
      <c r="M181" s="14" t="inlineStr">
        <is>
          <t>NTSDDI1602XK</t>
        </is>
      </c>
      <c r="N181" s="14" t="n">
        <v>1</v>
      </c>
      <c r="O181" s="14" t="inlineStr">
        <is>
          <t>Dry contact, wetted 24 V DC from the panel supply</t>
        </is>
      </c>
      <c r="P181" s="14" t="inlineStr"/>
    </row>
    <row r="182" ht="15" customHeight="1">
      <c r="A182" s="14" t="inlineStr">
        <is>
          <t>PMS-LV-F05-CLSD</t>
        </is>
      </c>
      <c r="B182" s="14" t="inlineStr">
        <is>
          <t>Outgoing way 5 closed</t>
        </is>
      </c>
      <c r="C182" s="14" t="inlineStr">
        <is>
          <t>Prime Minister station LVDB</t>
        </is>
      </c>
      <c r="D182" s="14" t="inlineStr">
        <is>
          <t>DI</t>
        </is>
      </c>
      <c r="E182" s="14" t="inlineStr">
        <is>
          <t>Status</t>
        </is>
      </c>
      <c r="F182" s="14" t="inlineStr">
        <is>
          <t>Status</t>
        </is>
      </c>
      <c r="G182" s="14" t="inlineStr">
        <is>
          <t>-</t>
        </is>
      </c>
      <c r="H182" s="14" t="n">
        <v>4</v>
      </c>
      <c r="I182" s="14" t="inlineStr">
        <is>
          <t>R4-DI02</t>
        </is>
      </c>
      <c r="J182" s="14" t="n">
        <v>10</v>
      </c>
      <c r="K182" s="14" t="inlineStr">
        <is>
          <t>PMS</t>
        </is>
      </c>
      <c r="L182" s="14" t="inlineStr">
        <is>
          <t>PMS-DI3</t>
        </is>
      </c>
      <c r="M182" s="14" t="inlineStr">
        <is>
          <t>NTSDDI1602XK</t>
        </is>
      </c>
      <c r="N182" s="14" t="n">
        <v>2</v>
      </c>
      <c r="O182" s="14" t="inlineStr">
        <is>
          <t>Dry contact, wetted 24 V DC from the panel supply</t>
        </is>
      </c>
      <c r="P182" s="14" t="inlineStr"/>
    </row>
    <row r="183" ht="15" customHeight="1">
      <c r="A183" s="14" t="inlineStr">
        <is>
          <t>PMS-LV-F06-CLSD</t>
        </is>
      </c>
      <c r="B183" s="14" t="inlineStr">
        <is>
          <t>Outgoing way 6 closed</t>
        </is>
      </c>
      <c r="C183" s="14" t="inlineStr">
        <is>
          <t>Prime Minister station LVDB</t>
        </is>
      </c>
      <c r="D183" s="14" t="inlineStr">
        <is>
          <t>DI</t>
        </is>
      </c>
      <c r="E183" s="14" t="inlineStr">
        <is>
          <t>Status</t>
        </is>
      </c>
      <c r="F183" s="14" t="inlineStr">
        <is>
          <t>Status</t>
        </is>
      </c>
      <c r="G183" s="14" t="inlineStr">
        <is>
          <t>-</t>
        </is>
      </c>
      <c r="H183" s="14" t="n">
        <v>4</v>
      </c>
      <c r="I183" s="14" t="inlineStr">
        <is>
          <t>R4-DI02</t>
        </is>
      </c>
      <c r="J183" s="14" t="n">
        <v>11</v>
      </c>
      <c r="K183" s="14" t="inlineStr">
        <is>
          <t>PMS</t>
        </is>
      </c>
      <c r="L183" s="14" t="inlineStr">
        <is>
          <t>PMS-DI3</t>
        </is>
      </c>
      <c r="M183" s="14" t="inlineStr">
        <is>
          <t>NTSDDI1602XK</t>
        </is>
      </c>
      <c r="N183" s="14" t="n">
        <v>3</v>
      </c>
      <c r="O183" s="14" t="inlineStr">
        <is>
          <t>Dry contact, wetted 24 V DC from the panel supply</t>
        </is>
      </c>
      <c r="P183" s="14" t="inlineStr"/>
    </row>
    <row r="184" ht="15" customHeight="1">
      <c r="A184" s="14" t="inlineStr">
        <is>
          <t>PMS-LV-F07-CLSD</t>
        </is>
      </c>
      <c r="B184" s="14" t="inlineStr">
        <is>
          <t>Outgoing way 7 closed</t>
        </is>
      </c>
      <c r="C184" s="14" t="inlineStr">
        <is>
          <t>Prime Minister station LVDB</t>
        </is>
      </c>
      <c r="D184" s="14" t="inlineStr">
        <is>
          <t>DI</t>
        </is>
      </c>
      <c r="E184" s="14" t="inlineStr">
        <is>
          <t>Status</t>
        </is>
      </c>
      <c r="F184" s="14" t="inlineStr">
        <is>
          <t>Status</t>
        </is>
      </c>
      <c r="G184" s="14" t="inlineStr">
        <is>
          <t>-</t>
        </is>
      </c>
      <c r="H184" s="14" t="n">
        <v>4</v>
      </c>
      <c r="I184" s="14" t="inlineStr">
        <is>
          <t>R4-DI02</t>
        </is>
      </c>
      <c r="J184" s="14" t="n">
        <v>12</v>
      </c>
      <c r="K184" s="14" t="inlineStr">
        <is>
          <t>PMS</t>
        </is>
      </c>
      <c r="L184" s="14" t="inlineStr">
        <is>
          <t>PMS-DI3</t>
        </is>
      </c>
      <c r="M184" s="14" t="inlineStr">
        <is>
          <t>NTSDDI1602XK</t>
        </is>
      </c>
      <c r="N184" s="14" t="n">
        <v>4</v>
      </c>
      <c r="O184" s="14" t="inlineStr">
        <is>
          <t>Dry contact, wetted 24 V DC from the panel supply</t>
        </is>
      </c>
      <c r="P184" s="14" t="inlineStr"/>
    </row>
    <row r="185" ht="15" customHeight="1">
      <c r="A185" s="14" t="inlineStr">
        <is>
          <t>PMS-LV-F08-CLSD</t>
        </is>
      </c>
      <c r="B185" s="14" t="inlineStr">
        <is>
          <t>Outgoing way 8 closed</t>
        </is>
      </c>
      <c r="C185" s="14" t="inlineStr">
        <is>
          <t>Prime Minister station LVDB</t>
        </is>
      </c>
      <c r="D185" s="14" t="inlineStr">
        <is>
          <t>DI</t>
        </is>
      </c>
      <c r="E185" s="14" t="inlineStr">
        <is>
          <t>Status</t>
        </is>
      </c>
      <c r="F185" s="14" t="inlineStr">
        <is>
          <t>Status</t>
        </is>
      </c>
      <c r="G185" s="14" t="inlineStr">
        <is>
          <t>-</t>
        </is>
      </c>
      <c r="H185" s="14" t="n">
        <v>4</v>
      </c>
      <c r="I185" s="14" t="inlineStr">
        <is>
          <t>R4-DI02</t>
        </is>
      </c>
      <c r="J185" s="14" t="n">
        <v>13</v>
      </c>
      <c r="K185" s="14" t="inlineStr">
        <is>
          <t>PMS</t>
        </is>
      </c>
      <c r="L185" s="14" t="inlineStr">
        <is>
          <t>PMS-DI3</t>
        </is>
      </c>
      <c r="M185" s="14" t="inlineStr">
        <is>
          <t>NTSDDI1602XK</t>
        </is>
      </c>
      <c r="N185" s="14" t="n">
        <v>5</v>
      </c>
      <c r="O185" s="14" t="inlineStr">
        <is>
          <t>Dry contact, wetted 24 V DC from the panel supply</t>
        </is>
      </c>
      <c r="P185" s="14" t="inlineStr"/>
    </row>
    <row r="186" ht="15" customHeight="1">
      <c r="A186" s="14" t="inlineStr">
        <is>
          <t>PMS-LV-F09-CLSD</t>
        </is>
      </c>
      <c r="B186" s="14" t="inlineStr">
        <is>
          <t>Outgoing way 9 closed</t>
        </is>
      </c>
      <c r="C186" s="14" t="inlineStr">
        <is>
          <t>Prime Minister station LVDB</t>
        </is>
      </c>
      <c r="D186" s="14" t="inlineStr">
        <is>
          <t>DI</t>
        </is>
      </c>
      <c r="E186" s="14" t="inlineStr">
        <is>
          <t>Status</t>
        </is>
      </c>
      <c r="F186" s="14" t="inlineStr">
        <is>
          <t>Status</t>
        </is>
      </c>
      <c r="G186" s="14" t="inlineStr">
        <is>
          <t>-</t>
        </is>
      </c>
      <c r="H186" s="14" t="n">
        <v>4</v>
      </c>
      <c r="I186" s="14" t="inlineStr">
        <is>
          <t>R4-DI02</t>
        </is>
      </c>
      <c r="J186" s="14" t="n">
        <v>14</v>
      </c>
      <c r="K186" s="14" t="inlineStr">
        <is>
          <t>PMS</t>
        </is>
      </c>
      <c r="L186" s="14" t="inlineStr">
        <is>
          <t>PMS-DI3</t>
        </is>
      </c>
      <c r="M186" s="14" t="inlineStr">
        <is>
          <t>NTSDDI1602XK</t>
        </is>
      </c>
      <c r="N186" s="14" t="n">
        <v>6</v>
      </c>
      <c r="O186" s="14" t="inlineStr">
        <is>
          <t>Dry contact, wetted 24 V DC from the panel supply</t>
        </is>
      </c>
      <c r="P186" s="14" t="inlineStr"/>
    </row>
    <row r="187" ht="15" customHeight="1">
      <c r="A187" s="14" t="inlineStr">
        <is>
          <t>PMS-LV-F10-CLSD</t>
        </is>
      </c>
      <c r="B187" s="14" t="inlineStr">
        <is>
          <t>Outgoing way 10 closed</t>
        </is>
      </c>
      <c r="C187" s="14" t="inlineStr">
        <is>
          <t>Prime Minister station LVDB</t>
        </is>
      </c>
      <c r="D187" s="14" t="inlineStr">
        <is>
          <t>DI</t>
        </is>
      </c>
      <c r="E187" s="14" t="inlineStr">
        <is>
          <t>Status</t>
        </is>
      </c>
      <c r="F187" s="14" t="inlineStr">
        <is>
          <t>Status</t>
        </is>
      </c>
      <c r="G187" s="14" t="inlineStr">
        <is>
          <t>-</t>
        </is>
      </c>
      <c r="H187" s="14" t="n">
        <v>4</v>
      </c>
      <c r="I187" s="14" t="inlineStr">
        <is>
          <t>R4-DI02</t>
        </is>
      </c>
      <c r="J187" s="14" t="n">
        <v>15</v>
      </c>
      <c r="K187" s="14" t="inlineStr">
        <is>
          <t>PMS</t>
        </is>
      </c>
      <c r="L187" s="14" t="inlineStr">
        <is>
          <t>PMS-DI3</t>
        </is>
      </c>
      <c r="M187" s="14" t="inlineStr">
        <is>
          <t>NTSDDI1602XK</t>
        </is>
      </c>
      <c r="N187" s="14" t="n">
        <v>7</v>
      </c>
      <c r="O187" s="14" t="inlineStr">
        <is>
          <t>Dry contact, wetted 24 V DC from the panel supply</t>
        </is>
      </c>
      <c r="P187" s="14" t="inlineStr"/>
    </row>
    <row r="188" ht="15" customHeight="1">
      <c r="A188" s="14" t="inlineStr">
        <is>
          <t>PMS-LV-SPD-FLT</t>
        </is>
      </c>
      <c r="B188" s="14" t="inlineStr">
        <is>
          <t>Surge arrester failed</t>
        </is>
      </c>
      <c r="C188" s="14" t="inlineStr">
        <is>
          <t>Prime Minister station LVDB</t>
        </is>
      </c>
      <c r="D188" s="14" t="inlineStr">
        <is>
          <t>DI</t>
        </is>
      </c>
      <c r="E188" s="14" t="inlineStr">
        <is>
          <t>Normally open</t>
        </is>
      </c>
      <c r="F188" s="14" t="inlineStr">
        <is>
          <t>3</t>
        </is>
      </c>
      <c r="G188" s="14" t="inlineStr">
        <is>
          <t>-</t>
        </is>
      </c>
      <c r="H188" s="14" t="n">
        <v>4</v>
      </c>
      <c r="I188" s="14" t="inlineStr">
        <is>
          <t>R4-DI02</t>
        </is>
      </c>
      <c r="J188" s="14" t="n">
        <v>16</v>
      </c>
      <c r="K188" s="14" t="inlineStr">
        <is>
          <t>PMS</t>
        </is>
      </c>
      <c r="L188" s="14" t="inlineStr">
        <is>
          <t>PMS-DI3</t>
        </is>
      </c>
      <c r="M188" s="14" t="inlineStr">
        <is>
          <t>NTSDDI1602XK</t>
        </is>
      </c>
      <c r="N188" s="14" t="n">
        <v>8</v>
      </c>
      <c r="O188" s="14" t="inlineStr">
        <is>
          <t>Dry contact, wetted 24 V DC from the panel supply</t>
        </is>
      </c>
      <c r="P188" s="14" t="inlineStr"/>
    </row>
    <row r="189" ht="15" customHeight="1">
      <c r="A189" s="14" t="inlineStr">
        <is>
          <t>PMS-PNL-SUP-OK</t>
        </is>
      </c>
      <c r="B189" s="14" t="inlineStr">
        <is>
          <t>I/O panel supply healthy</t>
        </is>
      </c>
      <c r="C189" s="14" t="inlineStr">
        <is>
          <t>Prime Minister station LVDB</t>
        </is>
      </c>
      <c r="D189" s="14" t="inlineStr">
        <is>
          <t>DI</t>
        </is>
      </c>
      <c r="E189" s="14" t="inlineStr">
        <is>
          <t>Normally closed</t>
        </is>
      </c>
      <c r="F189" s="14" t="inlineStr">
        <is>
          <t>2</t>
        </is>
      </c>
      <c r="G189" s="14" t="inlineStr">
        <is>
          <t>-</t>
        </is>
      </c>
      <c r="H189" s="14" t="n">
        <v>4</v>
      </c>
      <c r="I189" s="14" t="inlineStr">
        <is>
          <t>R4-DI03</t>
        </is>
      </c>
      <c r="J189" s="14" t="n">
        <v>1</v>
      </c>
      <c r="K189" s="14" t="inlineStr">
        <is>
          <t>PMS</t>
        </is>
      </c>
      <c r="L189" s="14" t="inlineStr">
        <is>
          <t>PMS-DI3</t>
        </is>
      </c>
      <c r="M189" s="14" t="inlineStr">
        <is>
          <t>NTSDDI1602XK</t>
        </is>
      </c>
      <c r="N189" s="14" t="n">
        <v>9</v>
      </c>
      <c r="O189" s="14" t="inlineStr">
        <is>
          <t>Dry contact, wetted 24 V DC from the panel supply</t>
        </is>
      </c>
      <c r="P189" s="14" t="inlineStr"/>
    </row>
    <row r="190" ht="15" customHeight="1">
      <c r="A190" s="14" t="inlineStr">
        <is>
          <t>PMS-UPS-ON-BATT</t>
        </is>
      </c>
      <c r="B190" s="14" t="inlineStr">
        <is>
          <t>RMU UPS 2 kVA on battery</t>
        </is>
      </c>
      <c r="C190" s="14" t="inlineStr">
        <is>
          <t>Prime Minister station RMU</t>
        </is>
      </c>
      <c r="D190" s="14" t="inlineStr">
        <is>
          <t>DI</t>
        </is>
      </c>
      <c r="E190" s="14" t="inlineStr">
        <is>
          <t>Normally open</t>
        </is>
      </c>
      <c r="F190" s="14" t="inlineStr">
        <is>
          <t>2</t>
        </is>
      </c>
      <c r="G190" s="14" t="inlineStr">
        <is>
          <t>-</t>
        </is>
      </c>
      <c r="H190" s="14" t="n">
        <v>4</v>
      </c>
      <c r="I190" s="14" t="inlineStr">
        <is>
          <t>R4-DI03</t>
        </is>
      </c>
      <c r="J190" s="14" t="n">
        <v>2</v>
      </c>
      <c r="K190" s="14" t="inlineStr">
        <is>
          <t>PMS</t>
        </is>
      </c>
      <c r="L190" s="14" t="inlineStr">
        <is>
          <t>PMS-DI3</t>
        </is>
      </c>
      <c r="M190" s="14" t="inlineStr">
        <is>
          <t>NTSDDI1602XK</t>
        </is>
      </c>
      <c r="N190" s="14" t="n">
        <v>10</v>
      </c>
      <c r="O190" s="14" t="inlineStr">
        <is>
          <t>Dry contact, wetted 24 V DC from the panel supply</t>
        </is>
      </c>
      <c r="P190" s="14" t="inlineStr"/>
    </row>
    <row r="191" ht="15" customHeight="1">
      <c r="A191" s="14" t="inlineStr">
        <is>
          <t>PMS-UPS-FLT</t>
        </is>
      </c>
      <c r="B191" s="14" t="inlineStr">
        <is>
          <t>RMU UPS 2 kVA fault</t>
        </is>
      </c>
      <c r="C191" s="14" t="inlineStr">
        <is>
          <t>Prime Minister station RMU</t>
        </is>
      </c>
      <c r="D191" s="14" t="inlineStr">
        <is>
          <t>DI</t>
        </is>
      </c>
      <c r="E191" s="14" t="inlineStr">
        <is>
          <t>Normally open</t>
        </is>
      </c>
      <c r="F191" s="14" t="inlineStr">
        <is>
          <t>2</t>
        </is>
      </c>
      <c r="G191" s="14" t="inlineStr">
        <is>
          <t>-</t>
        </is>
      </c>
      <c r="H191" s="14" t="n">
        <v>4</v>
      </c>
      <c r="I191" s="14" t="inlineStr">
        <is>
          <t>R4-DI03</t>
        </is>
      </c>
      <c r="J191" s="14" t="n">
        <v>3</v>
      </c>
      <c r="K191" s="14" t="inlineStr">
        <is>
          <t>PMS</t>
        </is>
      </c>
      <c r="L191" s="14" t="inlineStr">
        <is>
          <t>PMS-DI3</t>
        </is>
      </c>
      <c r="M191" s="14" t="inlineStr">
        <is>
          <t>NTSDDI1602XK</t>
        </is>
      </c>
      <c r="N191" s="14" t="n">
        <v>11</v>
      </c>
      <c r="O191" s="14" t="inlineStr">
        <is>
          <t>Dry contact, wetted 24 V DC from the panel supply</t>
        </is>
      </c>
      <c r="P191" s="14" t="inlineStr"/>
    </row>
    <row r="192" ht="15" customHeight="1">
      <c r="A192" s="14" t="inlineStr">
        <is>
          <t>PMS-RS1-OPEN-CMD</t>
        </is>
      </c>
      <c r="B192" s="14" t="inlineStr">
        <is>
          <t>Open ring switch 1</t>
        </is>
      </c>
      <c r="C192" s="14" t="inlineStr">
        <is>
          <t>Prime Minister station RMU</t>
        </is>
      </c>
      <c r="D192" s="14" t="inlineStr">
        <is>
          <t>DO</t>
        </is>
      </c>
      <c r="E192" s="14" t="inlineStr">
        <is>
          <t>Pulse</t>
        </is>
      </c>
      <c r="F192" s="14" t="inlineStr">
        <is>
          <t>-</t>
        </is>
      </c>
      <c r="G192" s="14" t="inlineStr">
        <is>
          <t>Operator</t>
        </is>
      </c>
      <c r="H192" s="14" t="n">
        <v>4</v>
      </c>
      <c r="I192" s="14" t="inlineStr">
        <is>
          <t>R4-CO01</t>
        </is>
      </c>
      <c r="J192" s="14" t="n">
        <v>1</v>
      </c>
      <c r="K192" s="14" t="inlineStr">
        <is>
          <t>PMS</t>
        </is>
      </c>
      <c r="L192" s="14" t="inlineStr">
        <is>
          <t>PMS-DO1</t>
        </is>
      </c>
      <c r="M192" s="14" t="inlineStr">
        <is>
          <t>NTSDDO1602K</t>
        </is>
      </c>
      <c r="N192" s="14" t="n">
        <v>1</v>
      </c>
      <c r="O192" s="14" t="inlineStr">
        <is>
          <t>Interposing relay IR25, contact in the breaker or switch control circuit</t>
        </is>
      </c>
      <c r="P192" s="14" t="inlineStr">
        <is>
          <t>IR25</t>
        </is>
      </c>
    </row>
    <row r="193" ht="15" customHeight="1">
      <c r="A193" s="14" t="inlineStr">
        <is>
          <t>PMS-RS1-CLOSE-CMD</t>
        </is>
      </c>
      <c r="B193" s="14" t="inlineStr">
        <is>
          <t>Close ring switch 1</t>
        </is>
      </c>
      <c r="C193" s="14" t="inlineStr">
        <is>
          <t>Prime Minister station RMU</t>
        </is>
      </c>
      <c r="D193" s="14" t="inlineStr">
        <is>
          <t>DO</t>
        </is>
      </c>
      <c r="E193" s="14" t="inlineStr">
        <is>
          <t>Pulse</t>
        </is>
      </c>
      <c r="F193" s="14" t="inlineStr">
        <is>
          <t>-</t>
        </is>
      </c>
      <c r="G193" s="14" t="inlineStr">
        <is>
          <t>Operator</t>
        </is>
      </c>
      <c r="H193" s="14" t="n">
        <v>4</v>
      </c>
      <c r="I193" s="14" t="inlineStr">
        <is>
          <t>R4-CO01</t>
        </is>
      </c>
      <c r="J193" s="14" t="n">
        <v>2</v>
      </c>
      <c r="K193" s="14" t="inlineStr">
        <is>
          <t>PMS</t>
        </is>
      </c>
      <c r="L193" s="14" t="inlineStr">
        <is>
          <t>PMS-DO1</t>
        </is>
      </c>
      <c r="M193" s="14" t="inlineStr">
        <is>
          <t>NTSDDO1602K</t>
        </is>
      </c>
      <c r="N193" s="14" t="n">
        <v>2</v>
      </c>
      <c r="O193" s="14" t="inlineStr">
        <is>
          <t>Interposing relay IR26, contact in the breaker or switch control circuit</t>
        </is>
      </c>
      <c r="P193" s="14" t="inlineStr">
        <is>
          <t>IR26</t>
        </is>
      </c>
    </row>
    <row r="194" ht="15" customHeight="1">
      <c r="A194" s="14" t="inlineStr">
        <is>
          <t>PMS-RS2-OPEN-CMD</t>
        </is>
      </c>
      <c r="B194" s="14" t="inlineStr">
        <is>
          <t>Open ring switch 2</t>
        </is>
      </c>
      <c r="C194" s="14" t="inlineStr">
        <is>
          <t>Prime Minister station RMU</t>
        </is>
      </c>
      <c r="D194" s="14" t="inlineStr">
        <is>
          <t>DO</t>
        </is>
      </c>
      <c r="E194" s="14" t="inlineStr">
        <is>
          <t>Pulse</t>
        </is>
      </c>
      <c r="F194" s="14" t="inlineStr">
        <is>
          <t>-</t>
        </is>
      </c>
      <c r="G194" s="14" t="inlineStr">
        <is>
          <t>Operator</t>
        </is>
      </c>
      <c r="H194" s="14" t="n">
        <v>4</v>
      </c>
      <c r="I194" s="14" t="inlineStr">
        <is>
          <t>R4-CO01</t>
        </is>
      </c>
      <c r="J194" s="14" t="n">
        <v>3</v>
      </c>
      <c r="K194" s="14" t="inlineStr">
        <is>
          <t>PMS</t>
        </is>
      </c>
      <c r="L194" s="14" t="inlineStr">
        <is>
          <t>PMS-DO1</t>
        </is>
      </c>
      <c r="M194" s="14" t="inlineStr">
        <is>
          <t>NTSDDO1602K</t>
        </is>
      </c>
      <c r="N194" s="14" t="n">
        <v>3</v>
      </c>
      <c r="O194" s="14" t="inlineStr">
        <is>
          <t>Interposing relay IR27, contact in the breaker or switch control circuit</t>
        </is>
      </c>
      <c r="P194" s="14" t="inlineStr">
        <is>
          <t>IR27</t>
        </is>
      </c>
    </row>
    <row r="195" ht="15" customHeight="1">
      <c r="A195" s="14" t="inlineStr">
        <is>
          <t>PMS-RS2-CLOSE-CMD</t>
        </is>
      </c>
      <c r="B195" s="14" t="inlineStr">
        <is>
          <t>Close ring switch 2</t>
        </is>
      </c>
      <c r="C195" s="14" t="inlineStr">
        <is>
          <t>Prime Minister station RMU</t>
        </is>
      </c>
      <c r="D195" s="14" t="inlineStr">
        <is>
          <t>DO</t>
        </is>
      </c>
      <c r="E195" s="14" t="inlineStr">
        <is>
          <t>Pulse</t>
        </is>
      </c>
      <c r="F195" s="14" t="inlineStr">
        <is>
          <t>-</t>
        </is>
      </c>
      <c r="G195" s="14" t="inlineStr">
        <is>
          <t>Operator</t>
        </is>
      </c>
      <c r="H195" s="14" t="n">
        <v>4</v>
      </c>
      <c r="I195" s="14" t="inlineStr">
        <is>
          <t>R4-CO01</t>
        </is>
      </c>
      <c r="J195" s="14" t="n">
        <v>4</v>
      </c>
      <c r="K195" s="14" t="inlineStr">
        <is>
          <t>PMS</t>
        </is>
      </c>
      <c r="L195" s="14" t="inlineStr">
        <is>
          <t>PMS-DO1</t>
        </is>
      </c>
      <c r="M195" s="14" t="inlineStr">
        <is>
          <t>NTSDDO1602K</t>
        </is>
      </c>
      <c r="N195" s="14" t="n">
        <v>4</v>
      </c>
      <c r="O195" s="14" t="inlineStr">
        <is>
          <t>Interposing relay IR28, contact in the breaker or switch control circuit</t>
        </is>
      </c>
      <c r="P195" s="14" t="inlineStr">
        <is>
          <t>IR28</t>
        </is>
      </c>
    </row>
    <row r="196" ht="15" customHeight="1">
      <c r="A196" s="14" t="inlineStr">
        <is>
          <t>PMS-CB-OPEN-CMD</t>
        </is>
      </c>
      <c r="B196" s="14" t="inlineStr">
        <is>
          <t>Open transformer breaker</t>
        </is>
      </c>
      <c r="C196" s="14" t="inlineStr">
        <is>
          <t>Prime Minister station RMU</t>
        </is>
      </c>
      <c r="D196" s="14" t="inlineStr">
        <is>
          <t>DO</t>
        </is>
      </c>
      <c r="E196" s="14" t="inlineStr">
        <is>
          <t>Pulse</t>
        </is>
      </c>
      <c r="F196" s="14" t="inlineStr">
        <is>
          <t>-</t>
        </is>
      </c>
      <c r="G196" s="14" t="inlineStr">
        <is>
          <t>Operator</t>
        </is>
      </c>
      <c r="H196" s="14" t="n">
        <v>4</v>
      </c>
      <c r="I196" s="14" t="inlineStr">
        <is>
          <t>R4-CO01</t>
        </is>
      </c>
      <c r="J196" s="14" t="n">
        <v>5</v>
      </c>
      <c r="K196" s="14" t="inlineStr">
        <is>
          <t>PMS</t>
        </is>
      </c>
      <c r="L196" s="14" t="inlineStr">
        <is>
          <t>PMS-DO1</t>
        </is>
      </c>
      <c r="M196" s="14" t="inlineStr">
        <is>
          <t>NTSDDO1602K</t>
        </is>
      </c>
      <c r="N196" s="14" t="n">
        <v>5</v>
      </c>
      <c r="O196" s="14" t="inlineStr">
        <is>
          <t>Interposing relay IR29, contact in the breaker or switch control circuit</t>
        </is>
      </c>
      <c r="P196" s="14" t="inlineStr">
        <is>
          <t>IR29</t>
        </is>
      </c>
    </row>
    <row r="197" ht="15" customHeight="1">
      <c r="A197" s="14" t="inlineStr">
        <is>
          <t>PMS-CB-CLOSE-CMD</t>
        </is>
      </c>
      <c r="B197" s="14" t="inlineStr">
        <is>
          <t>Close transformer breaker</t>
        </is>
      </c>
      <c r="C197" s="14" t="inlineStr">
        <is>
          <t>Prime Minister station RMU</t>
        </is>
      </c>
      <c r="D197" s="14" t="inlineStr">
        <is>
          <t>DO</t>
        </is>
      </c>
      <c r="E197" s="14" t="inlineStr">
        <is>
          <t>Pulse</t>
        </is>
      </c>
      <c r="F197" s="14" t="inlineStr">
        <is>
          <t>-</t>
        </is>
      </c>
      <c r="G197" s="14" t="inlineStr">
        <is>
          <t>Operator</t>
        </is>
      </c>
      <c r="H197" s="14" t="n">
        <v>4</v>
      </c>
      <c r="I197" s="14" t="inlineStr">
        <is>
          <t>R4-CO01</t>
        </is>
      </c>
      <c r="J197" s="14" t="n">
        <v>6</v>
      </c>
      <c r="K197" s="14" t="inlineStr">
        <is>
          <t>PMS</t>
        </is>
      </c>
      <c r="L197" s="14" t="inlineStr">
        <is>
          <t>PMS-DO1</t>
        </is>
      </c>
      <c r="M197" s="14" t="inlineStr">
        <is>
          <t>NTSDDO1602K</t>
        </is>
      </c>
      <c r="N197" s="14" t="n">
        <v>6</v>
      </c>
      <c r="O197" s="14" t="inlineStr">
        <is>
          <t>Interposing relay IR30, contact in the breaker or switch control circuit</t>
        </is>
      </c>
      <c r="P197" s="14" t="inlineStr">
        <is>
          <t>IR30</t>
        </is>
      </c>
    </row>
    <row r="198" ht="15" customHeight="1">
      <c r="A198" s="14" t="inlineStr">
        <is>
          <t>PMS-LV-INC-OPEN-CMD</t>
        </is>
      </c>
      <c r="B198" s="14" t="inlineStr">
        <is>
          <t>Open LV incomer</t>
        </is>
      </c>
      <c r="C198" s="14" t="inlineStr">
        <is>
          <t>Prime Minister station LVDB</t>
        </is>
      </c>
      <c r="D198" s="14" t="inlineStr">
        <is>
          <t>DO</t>
        </is>
      </c>
      <c r="E198" s="14" t="inlineStr">
        <is>
          <t>Pulse</t>
        </is>
      </c>
      <c r="F198" s="14" t="inlineStr">
        <is>
          <t>-</t>
        </is>
      </c>
      <c r="G198" s="14" t="inlineStr">
        <is>
          <t>Operator</t>
        </is>
      </c>
      <c r="H198" s="14" t="n">
        <v>4</v>
      </c>
      <c r="I198" s="14" t="inlineStr">
        <is>
          <t>R4-CO01</t>
        </is>
      </c>
      <c r="J198" s="14" t="n">
        <v>7</v>
      </c>
      <c r="K198" s="14" t="inlineStr">
        <is>
          <t>PMS</t>
        </is>
      </c>
      <c r="L198" s="14" t="inlineStr">
        <is>
          <t>PMS-DO1</t>
        </is>
      </c>
      <c r="M198" s="14" t="inlineStr">
        <is>
          <t>NTSDDO1602K</t>
        </is>
      </c>
      <c r="N198" s="14" t="n">
        <v>7</v>
      </c>
      <c r="O198" s="14" t="inlineStr">
        <is>
          <t>Interposing relay IR31, contact in the breaker or switch control circuit</t>
        </is>
      </c>
      <c r="P198" s="14" t="inlineStr">
        <is>
          <t>IR31</t>
        </is>
      </c>
    </row>
    <row r="199" ht="15" customHeight="1">
      <c r="A199" s="14" t="inlineStr">
        <is>
          <t>PMS-LV-INC-CLOSE-CMD</t>
        </is>
      </c>
      <c r="B199" s="14" t="inlineStr">
        <is>
          <t>Close LV incomer</t>
        </is>
      </c>
      <c r="C199" s="14" t="inlineStr">
        <is>
          <t>Prime Minister station LVDB</t>
        </is>
      </c>
      <c r="D199" s="14" t="inlineStr">
        <is>
          <t>DO</t>
        </is>
      </c>
      <c r="E199" s="14" t="inlineStr">
        <is>
          <t>Pulse</t>
        </is>
      </c>
      <c r="F199" s="14" t="inlineStr">
        <is>
          <t>-</t>
        </is>
      </c>
      <c r="G199" s="14" t="inlineStr">
        <is>
          <t>Operator</t>
        </is>
      </c>
      <c r="H199" s="14" t="n">
        <v>4</v>
      </c>
      <c r="I199" s="14" t="inlineStr">
        <is>
          <t>R4-CO01</t>
        </is>
      </c>
      <c r="J199" s="14" t="n">
        <v>8</v>
      </c>
      <c r="K199" s="14" t="inlineStr">
        <is>
          <t>PMS</t>
        </is>
      </c>
      <c r="L199" s="14" t="inlineStr">
        <is>
          <t>PMS-DO1</t>
        </is>
      </c>
      <c r="M199" s="14" t="inlineStr">
        <is>
          <t>NTSDDO1602K</t>
        </is>
      </c>
      <c r="N199" s="14" t="n">
        <v>8</v>
      </c>
      <c r="O199" s="14" t="inlineStr">
        <is>
          <t>Interposing relay IR32, contact in the breaker or switch control circuit</t>
        </is>
      </c>
      <c r="P199" s="14" t="inlineStr">
        <is>
          <t>IR32</t>
        </is>
      </c>
    </row>
    <row r="200" ht="15" customHeight="1">
      <c r="A200" s="14" t="inlineStr">
        <is>
          <t>T-INV-OT-ALM</t>
        </is>
      </c>
      <c r="B200" s="14" t="inlineStr">
        <is>
          <t>Oil temperature alarm</t>
        </is>
      </c>
      <c r="C200" s="14" t="inlineStr">
        <is>
          <t>Inverter transformer</t>
        </is>
      </c>
      <c r="D200" s="14" t="inlineStr">
        <is>
          <t>DI</t>
        </is>
      </c>
      <c r="E200" s="14" t="inlineStr">
        <is>
          <t>Normally open</t>
        </is>
      </c>
      <c r="F200" s="14" t="inlineStr">
        <is>
          <t>3</t>
        </is>
      </c>
      <c r="G200" s="14" t="inlineStr">
        <is>
          <t>-</t>
        </is>
      </c>
      <c r="H200" s="14" t="n">
        <v>5</v>
      </c>
      <c r="I200" s="14" t="inlineStr">
        <is>
          <t>R5-DI01</t>
        </is>
      </c>
      <c r="J200" s="14" t="n">
        <v>1</v>
      </c>
      <c r="K200" s="14" t="inlineStr">
        <is>
          <t>YRD</t>
        </is>
      </c>
      <c r="L200" s="14" t="inlineStr">
        <is>
          <t>YRD-DI1</t>
        </is>
      </c>
      <c r="M200" s="14" t="inlineStr">
        <is>
          <t>NTSDDI1602XK</t>
        </is>
      </c>
      <c r="N200" s="14" t="n">
        <v>1</v>
      </c>
      <c r="O200" s="14" t="inlineStr">
        <is>
          <t>Dry contact, wetted 24 V DC from the panel supply</t>
        </is>
      </c>
      <c r="P200" s="14" t="inlineStr"/>
    </row>
    <row r="201" ht="15" customHeight="1">
      <c r="A201" s="14" t="inlineStr">
        <is>
          <t>T-INV-OT-TRIP</t>
        </is>
      </c>
      <c r="B201" s="14" t="inlineStr">
        <is>
          <t>Oil temperature trip</t>
        </is>
      </c>
      <c r="C201" s="14" t="inlineStr">
        <is>
          <t>Inverter transformer</t>
        </is>
      </c>
      <c r="D201" s="14" t="inlineStr">
        <is>
          <t>DI</t>
        </is>
      </c>
      <c r="E201" s="14" t="inlineStr">
        <is>
          <t>Normally open</t>
        </is>
      </c>
      <c r="F201" s="14" t="inlineStr">
        <is>
          <t>1</t>
        </is>
      </c>
      <c r="G201" s="14" t="inlineStr">
        <is>
          <t>-</t>
        </is>
      </c>
      <c r="H201" s="14" t="n">
        <v>5</v>
      </c>
      <c r="I201" s="14" t="inlineStr">
        <is>
          <t>R5-DI01</t>
        </is>
      </c>
      <c r="J201" s="14" t="n">
        <v>2</v>
      </c>
      <c r="K201" s="14" t="inlineStr">
        <is>
          <t>YRD</t>
        </is>
      </c>
      <c r="L201" s="14" t="inlineStr">
        <is>
          <t>YRD-DI1</t>
        </is>
      </c>
      <c r="M201" s="14" t="inlineStr">
        <is>
          <t>NTSDDI1602XK</t>
        </is>
      </c>
      <c r="N201" s="14" t="n">
        <v>2</v>
      </c>
      <c r="O201" s="14" t="inlineStr">
        <is>
          <t>Dry contact, wetted 24 V DC from the panel supply</t>
        </is>
      </c>
      <c r="P201" s="14" t="inlineStr"/>
    </row>
    <row r="202" ht="15" customHeight="1">
      <c r="A202" s="14" t="inlineStr">
        <is>
          <t>T-INV-WT-ALM</t>
        </is>
      </c>
      <c r="B202" s="14" t="inlineStr">
        <is>
          <t>Winding temperature alarm</t>
        </is>
      </c>
      <c r="C202" s="14" t="inlineStr">
        <is>
          <t>Inverter transformer</t>
        </is>
      </c>
      <c r="D202" s="14" t="inlineStr">
        <is>
          <t>DI</t>
        </is>
      </c>
      <c r="E202" s="14" t="inlineStr">
        <is>
          <t>Normally open</t>
        </is>
      </c>
      <c r="F202" s="14" t="inlineStr">
        <is>
          <t>3</t>
        </is>
      </c>
      <c r="G202" s="14" t="inlineStr">
        <is>
          <t>-</t>
        </is>
      </c>
      <c r="H202" s="14" t="n">
        <v>5</v>
      </c>
      <c r="I202" s="14" t="inlineStr">
        <is>
          <t>R5-DI01</t>
        </is>
      </c>
      <c r="J202" s="14" t="n">
        <v>3</v>
      </c>
      <c r="K202" s="14" t="inlineStr">
        <is>
          <t>YRD</t>
        </is>
      </c>
      <c r="L202" s="14" t="inlineStr">
        <is>
          <t>YRD-DI1</t>
        </is>
      </c>
      <c r="M202" s="14" t="inlineStr">
        <is>
          <t>NTSDDI1602XK</t>
        </is>
      </c>
      <c r="N202" s="14" t="n">
        <v>3</v>
      </c>
      <c r="O202" s="14" t="inlineStr">
        <is>
          <t>Dry contact, wetted 24 V DC from the panel supply</t>
        </is>
      </c>
      <c r="P202" s="14" t="inlineStr"/>
    </row>
    <row r="203" ht="15" customHeight="1">
      <c r="A203" s="14" t="inlineStr">
        <is>
          <t>T-INV-WT-TRIP</t>
        </is>
      </c>
      <c r="B203" s="14" t="inlineStr">
        <is>
          <t>Winding temperature trip</t>
        </is>
      </c>
      <c r="C203" s="14" t="inlineStr">
        <is>
          <t>Inverter transformer</t>
        </is>
      </c>
      <c r="D203" s="14" t="inlineStr">
        <is>
          <t>DI</t>
        </is>
      </c>
      <c r="E203" s="14" t="inlineStr">
        <is>
          <t>Normally open</t>
        </is>
      </c>
      <c r="F203" s="14" t="inlineStr">
        <is>
          <t>1</t>
        </is>
      </c>
      <c r="G203" s="14" t="inlineStr">
        <is>
          <t>-</t>
        </is>
      </c>
      <c r="H203" s="14" t="n">
        <v>5</v>
      </c>
      <c r="I203" s="14" t="inlineStr">
        <is>
          <t>R5-DI01</t>
        </is>
      </c>
      <c r="J203" s="14" t="n">
        <v>4</v>
      </c>
      <c r="K203" s="14" t="inlineStr">
        <is>
          <t>YRD</t>
        </is>
      </c>
      <c r="L203" s="14" t="inlineStr">
        <is>
          <t>YRD-DI1</t>
        </is>
      </c>
      <c r="M203" s="14" t="inlineStr">
        <is>
          <t>NTSDDI1602XK</t>
        </is>
      </c>
      <c r="N203" s="14" t="n">
        <v>4</v>
      </c>
      <c r="O203" s="14" t="inlineStr">
        <is>
          <t>Dry contact, wetted 24 V DC from the panel supply</t>
        </is>
      </c>
      <c r="P203" s="14" t="inlineStr"/>
    </row>
    <row r="204" ht="15" customHeight="1">
      <c r="A204" s="14" t="inlineStr">
        <is>
          <t>T-INV-PRD</t>
        </is>
      </c>
      <c r="B204" s="14" t="inlineStr">
        <is>
          <t>Pressure relief device operated</t>
        </is>
      </c>
      <c r="C204" s="14" t="inlineStr">
        <is>
          <t>Inverter transformer</t>
        </is>
      </c>
      <c r="D204" s="14" t="inlineStr">
        <is>
          <t>DI</t>
        </is>
      </c>
      <c r="E204" s="14" t="inlineStr">
        <is>
          <t>Normally open</t>
        </is>
      </c>
      <c r="F204" s="14" t="inlineStr">
        <is>
          <t>1</t>
        </is>
      </c>
      <c r="G204" s="14" t="inlineStr">
        <is>
          <t>-</t>
        </is>
      </c>
      <c r="H204" s="14" t="n">
        <v>5</v>
      </c>
      <c r="I204" s="14" t="inlineStr">
        <is>
          <t>R5-DI01</t>
        </is>
      </c>
      <c r="J204" s="14" t="n">
        <v>5</v>
      </c>
      <c r="K204" s="14" t="inlineStr">
        <is>
          <t>YRD</t>
        </is>
      </c>
      <c r="L204" s="14" t="inlineStr">
        <is>
          <t>YRD-DI1</t>
        </is>
      </c>
      <c r="M204" s="14" t="inlineStr">
        <is>
          <t>NTSDDI1602XK</t>
        </is>
      </c>
      <c r="N204" s="14" t="n">
        <v>5</v>
      </c>
      <c r="O204" s="14" t="inlineStr">
        <is>
          <t>Dry contact, wetted 24 V DC from the panel supply</t>
        </is>
      </c>
      <c r="P204" s="14" t="inlineStr"/>
    </row>
    <row r="205" ht="15" customHeight="1">
      <c r="A205" s="14" t="inlineStr">
        <is>
          <t>T-INV-OL-LOW</t>
        </is>
      </c>
      <c r="B205" s="14" t="inlineStr">
        <is>
          <t>Oil level low</t>
        </is>
      </c>
      <c r="C205" s="14" t="inlineStr">
        <is>
          <t>Inverter transformer</t>
        </is>
      </c>
      <c r="D205" s="14" t="inlineStr">
        <is>
          <t>DI</t>
        </is>
      </c>
      <c r="E205" s="14" t="inlineStr">
        <is>
          <t>Normally open</t>
        </is>
      </c>
      <c r="F205" s="14" t="inlineStr">
        <is>
          <t>2</t>
        </is>
      </c>
      <c r="G205" s="14" t="inlineStr">
        <is>
          <t>-</t>
        </is>
      </c>
      <c r="H205" s="14" t="n">
        <v>5</v>
      </c>
      <c r="I205" s="14" t="inlineStr">
        <is>
          <t>R5-DI01</t>
        </is>
      </c>
      <c r="J205" s="14" t="n">
        <v>6</v>
      </c>
      <c r="K205" s="14" t="inlineStr">
        <is>
          <t>YRD</t>
        </is>
      </c>
      <c r="L205" s="14" t="inlineStr">
        <is>
          <t>YRD-DI1</t>
        </is>
      </c>
      <c r="M205" s="14" t="inlineStr">
        <is>
          <t>NTSDDI1602XK</t>
        </is>
      </c>
      <c r="N205" s="14" t="n">
        <v>6</v>
      </c>
      <c r="O205" s="14" t="inlineStr">
        <is>
          <t>Dry contact, wetted 24 V DC from the panel supply</t>
        </is>
      </c>
      <c r="P205" s="14" t="inlineStr"/>
    </row>
    <row r="206" ht="15" customHeight="1">
      <c r="A206" s="14" t="inlineStr">
        <is>
          <t>PV-ACB-CLSD</t>
        </is>
      </c>
      <c r="B206" s="14" t="inlineStr">
        <is>
          <t>PV main LV breaker (ACB 1250 A) closed</t>
        </is>
      </c>
      <c r="C206" s="14" t="inlineStr">
        <is>
          <t>PV LV switchboard 0.8 kV (AC combiner)</t>
        </is>
      </c>
      <c r="D206" s="14" t="inlineStr">
        <is>
          <t>DI</t>
        </is>
      </c>
      <c r="E206" s="14" t="inlineStr">
        <is>
          <t>Status</t>
        </is>
      </c>
      <c r="F206" s="14" t="inlineStr">
        <is>
          <t>Status</t>
        </is>
      </c>
      <c r="G206" s="14" t="inlineStr">
        <is>
          <t>-</t>
        </is>
      </c>
      <c r="H206" s="14" t="n">
        <v>5</v>
      </c>
      <c r="I206" s="14" t="inlineStr">
        <is>
          <t>R5-DI02</t>
        </is>
      </c>
      <c r="J206" s="14" t="n">
        <v>3</v>
      </c>
      <c r="K206" s="14" t="inlineStr">
        <is>
          <t>YRD</t>
        </is>
      </c>
      <c r="L206" s="14" t="inlineStr">
        <is>
          <t>YRD-DI1</t>
        </is>
      </c>
      <c r="M206" s="14" t="inlineStr">
        <is>
          <t>NTSDDI1602XK</t>
        </is>
      </c>
      <c r="N206" s="14" t="n">
        <v>7</v>
      </c>
      <c r="O206" s="14" t="inlineStr">
        <is>
          <t>Dry contact, wetted 24 V DC from the panel supply</t>
        </is>
      </c>
      <c r="P206" s="14" t="inlineStr"/>
    </row>
    <row r="207" ht="15" customHeight="1">
      <c r="A207" s="14" t="inlineStr">
        <is>
          <t>PV-ACB-TRIP</t>
        </is>
      </c>
      <c r="B207" s="14" t="inlineStr">
        <is>
          <t>PV main LV breaker (ACB 1250 A) tripped</t>
        </is>
      </c>
      <c r="C207" s="14" t="inlineStr">
        <is>
          <t>PV LV switchboard 0.8 kV (AC combiner)</t>
        </is>
      </c>
      <c r="D207" s="14" t="inlineStr">
        <is>
          <t>DI</t>
        </is>
      </c>
      <c r="E207" s="14" t="inlineStr">
        <is>
          <t>Normally open</t>
        </is>
      </c>
      <c r="F207" s="14" t="inlineStr">
        <is>
          <t>1</t>
        </is>
      </c>
      <c r="G207" s="14" t="inlineStr">
        <is>
          <t>-</t>
        </is>
      </c>
      <c r="H207" s="14" t="n">
        <v>5</v>
      </c>
      <c r="I207" s="14" t="inlineStr">
        <is>
          <t>R5-DI02</t>
        </is>
      </c>
      <c r="J207" s="14" t="n">
        <v>4</v>
      </c>
      <c r="K207" s="14" t="inlineStr">
        <is>
          <t>YRD</t>
        </is>
      </c>
      <c r="L207" s="14" t="inlineStr">
        <is>
          <t>YRD-DI1</t>
        </is>
      </c>
      <c r="M207" s="14" t="inlineStr">
        <is>
          <t>NTSDDI1602XK</t>
        </is>
      </c>
      <c r="N207" s="14" t="n">
        <v>8</v>
      </c>
      <c r="O207" s="14" t="inlineStr">
        <is>
          <t>Dry contact, wetted 24 V DC from the panel supply</t>
        </is>
      </c>
      <c r="P207" s="14" t="inlineStr"/>
    </row>
    <row r="208" ht="15" customHeight="1">
      <c r="A208" s="14" t="inlineStr">
        <is>
          <t>NB01-MCCB-TRIP</t>
        </is>
      </c>
      <c r="B208" s="14" t="inlineStr">
        <is>
          <t>Inverter NB01 AC breaker (MCCB 400 A) tripped</t>
        </is>
      </c>
      <c r="C208" s="14" t="inlineStr">
        <is>
          <t>PV LV switchboard 0.8 kV (AC combiner)</t>
        </is>
      </c>
      <c r="D208" s="14" t="inlineStr">
        <is>
          <t>DI</t>
        </is>
      </c>
      <c r="E208" s="14" t="inlineStr">
        <is>
          <t>Normally open</t>
        </is>
      </c>
      <c r="F208" s="14" t="inlineStr">
        <is>
          <t>2</t>
        </is>
      </c>
      <c r="G208" s="14" t="inlineStr">
        <is>
          <t>-</t>
        </is>
      </c>
      <c r="H208" s="14" t="n">
        <v>5</v>
      </c>
      <c r="I208" s="14" t="inlineStr">
        <is>
          <t>R5-DI02</t>
        </is>
      </c>
      <c r="J208" s="14" t="n">
        <v>5</v>
      </c>
      <c r="K208" s="14" t="inlineStr">
        <is>
          <t>YRD</t>
        </is>
      </c>
      <c r="L208" s="14" t="inlineStr">
        <is>
          <t>YRD-DI1</t>
        </is>
      </c>
      <c r="M208" s="14" t="inlineStr">
        <is>
          <t>NTSDDI1602XK</t>
        </is>
      </c>
      <c r="N208" s="14" t="n">
        <v>9</v>
      </c>
      <c r="O208" s="14" t="inlineStr">
        <is>
          <t>Dry contact, wetted 24 V DC from the panel supply</t>
        </is>
      </c>
      <c r="P208" s="14" t="inlineStr"/>
    </row>
    <row r="209" ht="15" customHeight="1">
      <c r="A209" s="14" t="inlineStr">
        <is>
          <t>NB02-MCCB-TRIP</t>
        </is>
      </c>
      <c r="B209" s="14" t="inlineStr">
        <is>
          <t>Inverter NB02 AC breaker (MCCB 400 A) tripped</t>
        </is>
      </c>
      <c r="C209" s="14" t="inlineStr">
        <is>
          <t>PV LV switchboard 0.8 kV (AC combiner)</t>
        </is>
      </c>
      <c r="D209" s="14" t="inlineStr">
        <is>
          <t>DI</t>
        </is>
      </c>
      <c r="E209" s="14" t="inlineStr">
        <is>
          <t>Normally open</t>
        </is>
      </c>
      <c r="F209" s="14" t="inlineStr">
        <is>
          <t>2</t>
        </is>
      </c>
      <c r="G209" s="14" t="inlineStr">
        <is>
          <t>-</t>
        </is>
      </c>
      <c r="H209" s="14" t="n">
        <v>5</v>
      </c>
      <c r="I209" s="14" t="inlineStr">
        <is>
          <t>R5-DI02</t>
        </is>
      </c>
      <c r="J209" s="14" t="n">
        <v>6</v>
      </c>
      <c r="K209" s="14" t="inlineStr">
        <is>
          <t>YRD</t>
        </is>
      </c>
      <c r="L209" s="14" t="inlineStr">
        <is>
          <t>YRD-DI1</t>
        </is>
      </c>
      <c r="M209" s="14" t="inlineStr">
        <is>
          <t>NTSDDI1602XK</t>
        </is>
      </c>
      <c r="N209" s="14" t="n">
        <v>10</v>
      </c>
      <c r="O209" s="14" t="inlineStr">
        <is>
          <t>Dry contact, wetted 24 V DC from the panel supply</t>
        </is>
      </c>
      <c r="P209" s="14" t="inlineStr"/>
    </row>
    <row r="210" ht="15" customHeight="1">
      <c r="A210" s="14" t="inlineStr">
        <is>
          <t>NB03-MCCB-TRIP</t>
        </is>
      </c>
      <c r="B210" s="14" t="inlineStr">
        <is>
          <t>Inverter NB03 AC breaker (MCCB 400 A) tripped</t>
        </is>
      </c>
      <c r="C210" s="14" t="inlineStr">
        <is>
          <t>PV LV switchboard 0.8 kV (AC combiner)</t>
        </is>
      </c>
      <c r="D210" s="14" t="inlineStr">
        <is>
          <t>DI</t>
        </is>
      </c>
      <c r="E210" s="14" t="inlineStr">
        <is>
          <t>Normally open</t>
        </is>
      </c>
      <c r="F210" s="14" t="inlineStr">
        <is>
          <t>2</t>
        </is>
      </c>
      <c r="G210" s="14" t="inlineStr">
        <is>
          <t>-</t>
        </is>
      </c>
      <c r="H210" s="14" t="n">
        <v>5</v>
      </c>
      <c r="I210" s="14" t="inlineStr">
        <is>
          <t>R5-DI02</t>
        </is>
      </c>
      <c r="J210" s="14" t="n">
        <v>7</v>
      </c>
      <c r="K210" s="14" t="inlineStr">
        <is>
          <t>YRD</t>
        </is>
      </c>
      <c r="L210" s="14" t="inlineStr">
        <is>
          <t>YRD-DI1</t>
        </is>
      </c>
      <c r="M210" s="14" t="inlineStr">
        <is>
          <t>NTSDDI1602XK</t>
        </is>
      </c>
      <c r="N210" s="14" t="n">
        <v>11</v>
      </c>
      <c r="O210" s="14" t="inlineStr">
        <is>
          <t>Dry contact, wetted 24 V DC from the panel supply</t>
        </is>
      </c>
      <c r="P210" s="14" t="inlineStr"/>
    </row>
    <row r="211" ht="15" customHeight="1">
      <c r="A211" s="14" t="inlineStr">
        <is>
          <t>NB04-MCCB-TRIP</t>
        </is>
      </c>
      <c r="B211" s="14" t="inlineStr">
        <is>
          <t>Inverter NB04 AC breaker (MCCB 400 A) tripped</t>
        </is>
      </c>
      <c r="C211" s="14" t="inlineStr">
        <is>
          <t>PV LV switchboard 0.8 kV (AC combiner)</t>
        </is>
      </c>
      <c r="D211" s="14" t="inlineStr">
        <is>
          <t>DI</t>
        </is>
      </c>
      <c r="E211" s="14" t="inlineStr">
        <is>
          <t>Normally open</t>
        </is>
      </c>
      <c r="F211" s="14" t="inlineStr">
        <is>
          <t>2</t>
        </is>
      </c>
      <c r="G211" s="14" t="inlineStr">
        <is>
          <t>-</t>
        </is>
      </c>
      <c r="H211" s="14" t="n">
        <v>5</v>
      </c>
      <c r="I211" s="14" t="inlineStr">
        <is>
          <t>R5-DI02</t>
        </is>
      </c>
      <c r="J211" s="14" t="n">
        <v>8</v>
      </c>
      <c r="K211" s="14" t="inlineStr">
        <is>
          <t>YRD</t>
        </is>
      </c>
      <c r="L211" s="14" t="inlineStr">
        <is>
          <t>YRD-DI1</t>
        </is>
      </c>
      <c r="M211" s="14" t="inlineStr">
        <is>
          <t>NTSDDI1602XK</t>
        </is>
      </c>
      <c r="N211" s="14" t="n">
        <v>12</v>
      </c>
      <c r="O211" s="14" t="inlineStr">
        <is>
          <t>Dry contact, wetted 24 V DC from the panel supply</t>
        </is>
      </c>
      <c r="P211" s="14" t="inlineStr"/>
    </row>
    <row r="212" ht="15" customHeight="1">
      <c r="A212" s="14" t="inlineStr">
        <is>
          <t>BESS-ACB-CLSD</t>
        </is>
      </c>
      <c r="B212" s="14" t="inlineStr">
        <is>
          <t>Battery main LV breaker (ACB 1000 A) closed</t>
        </is>
      </c>
      <c r="C212" s="14" t="inlineStr">
        <is>
          <t>BESS LV breaker 0.69 kV</t>
        </is>
      </c>
      <c r="D212" s="14" t="inlineStr">
        <is>
          <t>DI</t>
        </is>
      </c>
      <c r="E212" s="14" t="inlineStr">
        <is>
          <t>Status</t>
        </is>
      </c>
      <c r="F212" s="14" t="inlineStr">
        <is>
          <t>Status</t>
        </is>
      </c>
      <c r="G212" s="14" t="inlineStr">
        <is>
          <t>-</t>
        </is>
      </c>
      <c r="H212" s="14" t="n">
        <v>5</v>
      </c>
      <c r="I212" s="14" t="inlineStr">
        <is>
          <t>R5-DI02</t>
        </is>
      </c>
      <c r="J212" s="14" t="n">
        <v>9</v>
      </c>
      <c r="K212" s="14" t="inlineStr">
        <is>
          <t>YRD</t>
        </is>
      </c>
      <c r="L212" s="14" t="inlineStr">
        <is>
          <t>YRD-DI1</t>
        </is>
      </c>
      <c r="M212" s="14" t="inlineStr">
        <is>
          <t>NTSDDI1602XK</t>
        </is>
      </c>
      <c r="N212" s="14" t="n">
        <v>13</v>
      </c>
      <c r="O212" s="14" t="inlineStr">
        <is>
          <t>Dry contact, wetted 24 V DC from the panel supply</t>
        </is>
      </c>
      <c r="P212" s="14" t="inlineStr"/>
    </row>
    <row r="213" ht="15" customHeight="1">
      <c r="A213" s="14" t="inlineStr">
        <is>
          <t>BESS-ACB-TRIP</t>
        </is>
      </c>
      <c r="B213" s="14" t="inlineStr">
        <is>
          <t>Battery main LV breaker (ACB 1000 A) tripped</t>
        </is>
      </c>
      <c r="C213" s="14" t="inlineStr">
        <is>
          <t>BESS LV breaker 0.69 kV</t>
        </is>
      </c>
      <c r="D213" s="14" t="inlineStr">
        <is>
          <t>DI</t>
        </is>
      </c>
      <c r="E213" s="14" t="inlineStr">
        <is>
          <t>Normally open</t>
        </is>
      </c>
      <c r="F213" s="14" t="inlineStr">
        <is>
          <t>1</t>
        </is>
      </c>
      <c r="G213" s="14" t="inlineStr">
        <is>
          <t>-</t>
        </is>
      </c>
      <c r="H213" s="14" t="n">
        <v>5</v>
      </c>
      <c r="I213" s="14" t="inlineStr">
        <is>
          <t>R5-DI02</t>
        </is>
      </c>
      <c r="J213" s="14" t="n">
        <v>10</v>
      </c>
      <c r="K213" s="14" t="inlineStr">
        <is>
          <t>YRD</t>
        </is>
      </c>
      <c r="L213" s="14" t="inlineStr">
        <is>
          <t>YRD-DI2</t>
        </is>
      </c>
      <c r="M213" s="14" t="inlineStr">
        <is>
          <t>NTSDDI1602XK</t>
        </is>
      </c>
      <c r="N213" s="14" t="n">
        <v>1</v>
      </c>
      <c r="O213" s="14" t="inlineStr">
        <is>
          <t>Dry contact, wetted 24 V DC from the panel supply</t>
        </is>
      </c>
      <c r="P213" s="14" t="inlineStr"/>
    </row>
    <row r="214" ht="15" customHeight="1">
      <c r="A214" s="14" t="inlineStr">
        <is>
          <t>FIRE-PREALM</t>
        </is>
      </c>
      <c r="B214" s="14" t="inlineStr">
        <is>
          <t>Pre-alarm</t>
        </is>
      </c>
      <c r="C214" s="14" t="inlineStr">
        <is>
          <t>Fire detection and suppression panel</t>
        </is>
      </c>
      <c r="D214" s="14" t="inlineStr">
        <is>
          <t>DI</t>
        </is>
      </c>
      <c r="E214" s="14" t="inlineStr">
        <is>
          <t>Normally open</t>
        </is>
      </c>
      <c r="F214" s="14" t="inlineStr">
        <is>
          <t>2</t>
        </is>
      </c>
      <c r="G214" s="14" t="inlineStr">
        <is>
          <t>-</t>
        </is>
      </c>
      <c r="H214" s="14" t="n">
        <v>5</v>
      </c>
      <c r="I214" s="14" t="inlineStr">
        <is>
          <t>R5-DI01</t>
        </is>
      </c>
      <c r="J214" s="14" t="n">
        <v>7</v>
      </c>
      <c r="K214" s="14" t="inlineStr">
        <is>
          <t>YRD</t>
        </is>
      </c>
      <c r="L214" s="14" t="inlineStr">
        <is>
          <t>YRD-DI2</t>
        </is>
      </c>
      <c r="M214" s="14" t="inlineStr">
        <is>
          <t>NTSDDI1602XK</t>
        </is>
      </c>
      <c r="N214" s="14" t="n">
        <v>2</v>
      </c>
      <c r="O214" s="14" t="inlineStr">
        <is>
          <t>Dry contact, wetted 24 V DC from the panel supply</t>
        </is>
      </c>
      <c r="P214" s="14" t="inlineStr"/>
    </row>
    <row r="215" ht="15" customHeight="1">
      <c r="A215" s="14" t="inlineStr">
        <is>
          <t>FIRE-ALM</t>
        </is>
      </c>
      <c r="B215" s="14" t="inlineStr">
        <is>
          <t>Fire alarm</t>
        </is>
      </c>
      <c r="C215" s="14" t="inlineStr">
        <is>
          <t>Fire detection and suppression panel</t>
        </is>
      </c>
      <c r="D215" s="14" t="inlineStr">
        <is>
          <t>DI</t>
        </is>
      </c>
      <c r="E215" s="14" t="inlineStr">
        <is>
          <t>Normally open</t>
        </is>
      </c>
      <c r="F215" s="14" t="inlineStr">
        <is>
          <t>1</t>
        </is>
      </c>
      <c r="G215" s="14" t="inlineStr">
        <is>
          <t>-</t>
        </is>
      </c>
      <c r="H215" s="14" t="n">
        <v>5</v>
      </c>
      <c r="I215" s="14" t="inlineStr">
        <is>
          <t>R5-DI01</t>
        </is>
      </c>
      <c r="J215" s="14" t="n">
        <v>8</v>
      </c>
      <c r="K215" s="14" t="inlineStr">
        <is>
          <t>YRD</t>
        </is>
      </c>
      <c r="L215" s="14" t="inlineStr">
        <is>
          <t>YRD-DI2</t>
        </is>
      </c>
      <c r="M215" s="14" t="inlineStr">
        <is>
          <t>NTSDDI1602XK</t>
        </is>
      </c>
      <c r="N215" s="14" t="n">
        <v>3</v>
      </c>
      <c r="O215" s="14" t="inlineStr">
        <is>
          <t>Dry contact, wetted 24 V DC from the panel supply</t>
        </is>
      </c>
      <c r="P215" s="14" t="inlineStr"/>
    </row>
    <row r="216" ht="15" customHeight="1">
      <c r="A216" s="14" t="inlineStr">
        <is>
          <t>FIRE-FLT</t>
        </is>
      </c>
      <c r="B216" s="14" t="inlineStr">
        <is>
          <t>System fault</t>
        </is>
      </c>
      <c r="C216" s="14" t="inlineStr">
        <is>
          <t>Fire detection and suppression panel</t>
        </is>
      </c>
      <c r="D216" s="14" t="inlineStr">
        <is>
          <t>DI</t>
        </is>
      </c>
      <c r="E216" s="14" t="inlineStr">
        <is>
          <t>Normally open</t>
        </is>
      </c>
      <c r="F216" s="14" t="inlineStr">
        <is>
          <t>2</t>
        </is>
      </c>
      <c r="G216" s="14" t="inlineStr">
        <is>
          <t>-</t>
        </is>
      </c>
      <c r="H216" s="14" t="n">
        <v>5</v>
      </c>
      <c r="I216" s="14" t="inlineStr">
        <is>
          <t>R5-DI01</t>
        </is>
      </c>
      <c r="J216" s="14" t="n">
        <v>9</v>
      </c>
      <c r="K216" s="14" t="inlineStr">
        <is>
          <t>YRD</t>
        </is>
      </c>
      <c r="L216" s="14" t="inlineStr">
        <is>
          <t>YRD-DI2</t>
        </is>
      </c>
      <c r="M216" s="14" t="inlineStr">
        <is>
          <t>NTSDDI1602XK</t>
        </is>
      </c>
      <c r="N216" s="14" t="n">
        <v>4</v>
      </c>
      <c r="O216" s="14" t="inlineStr">
        <is>
          <t>Dry contact, wetted 24 V DC from the panel supply</t>
        </is>
      </c>
      <c r="P216" s="14" t="inlineStr"/>
    </row>
    <row r="217" ht="15" customHeight="1">
      <c r="A217" s="14" t="inlineStr">
        <is>
          <t>FIRE-REL</t>
        </is>
      </c>
      <c r="B217" s="14" t="inlineStr">
        <is>
          <t>Suppression released</t>
        </is>
      </c>
      <c r="C217" s="14" t="inlineStr">
        <is>
          <t>Fire detection and suppression panel</t>
        </is>
      </c>
      <c r="D217" s="14" t="inlineStr">
        <is>
          <t>DI</t>
        </is>
      </c>
      <c r="E217" s="14" t="inlineStr">
        <is>
          <t>Normally open</t>
        </is>
      </c>
      <c r="F217" s="14" t="inlineStr">
        <is>
          <t>1</t>
        </is>
      </c>
      <c r="G217" s="14" t="inlineStr">
        <is>
          <t>-</t>
        </is>
      </c>
      <c r="H217" s="14" t="n">
        <v>5</v>
      </c>
      <c r="I217" s="14" t="inlineStr">
        <is>
          <t>R5-DI01</t>
        </is>
      </c>
      <c r="J217" s="14" t="n">
        <v>10</v>
      </c>
      <c r="K217" s="14" t="inlineStr">
        <is>
          <t>YRD</t>
        </is>
      </c>
      <c r="L217" s="14" t="inlineStr">
        <is>
          <t>YRD-DI2</t>
        </is>
      </c>
      <c r="M217" s="14" t="inlineStr">
        <is>
          <t>NTSDDI1602XK</t>
        </is>
      </c>
      <c r="N217" s="14" t="n">
        <v>5</v>
      </c>
      <c r="O217" s="14" t="inlineStr">
        <is>
          <t>Dry contact, wetted 24 V DC from the panel supply</t>
        </is>
      </c>
      <c r="P217" s="14" t="inlineStr"/>
    </row>
    <row r="218" ht="15" customHeight="1">
      <c r="A218" s="14" t="inlineStr">
        <is>
          <t>FIRE-AGENT-LOW</t>
        </is>
      </c>
      <c r="B218" s="14" t="inlineStr">
        <is>
          <t>Agent pressure low</t>
        </is>
      </c>
      <c r="C218" s="14" t="inlineStr">
        <is>
          <t>Fire detection and suppression panel</t>
        </is>
      </c>
      <c r="D218" s="14" t="inlineStr">
        <is>
          <t>DI</t>
        </is>
      </c>
      <c r="E218" s="14" t="inlineStr">
        <is>
          <t>Normally open</t>
        </is>
      </c>
      <c r="F218" s="14" t="inlineStr">
        <is>
          <t>2</t>
        </is>
      </c>
      <c r="G218" s="14" t="inlineStr">
        <is>
          <t>-</t>
        </is>
      </c>
      <c r="H218" s="14" t="n">
        <v>5</v>
      </c>
      <c r="I218" s="14" t="inlineStr">
        <is>
          <t>R5-DI01</t>
        </is>
      </c>
      <c r="J218" s="14" t="n">
        <v>11</v>
      </c>
      <c r="K218" s="14" t="inlineStr">
        <is>
          <t>YRD</t>
        </is>
      </c>
      <c r="L218" s="14" t="inlineStr">
        <is>
          <t>YRD-DI2</t>
        </is>
      </c>
      <c r="M218" s="14" t="inlineStr">
        <is>
          <t>NTSDDI1602XK</t>
        </is>
      </c>
      <c r="N218" s="14" t="n">
        <v>6</v>
      </c>
      <c r="O218" s="14" t="inlineStr">
        <is>
          <t>Dry contact, wetted 24 V DC from the panel supply</t>
        </is>
      </c>
      <c r="P218" s="14" t="inlineStr"/>
    </row>
    <row r="219" ht="15" customHeight="1">
      <c r="A219" s="14" t="inlineStr">
        <is>
          <t>FIRE-ISOL</t>
        </is>
      </c>
      <c r="B219" s="14" t="inlineStr">
        <is>
          <t>System isolated</t>
        </is>
      </c>
      <c r="C219" s="14" t="inlineStr">
        <is>
          <t>Fire detection and suppression panel</t>
        </is>
      </c>
      <c r="D219" s="14" t="inlineStr">
        <is>
          <t>DI</t>
        </is>
      </c>
      <c r="E219" s="14" t="inlineStr">
        <is>
          <t>Normally open</t>
        </is>
      </c>
      <c r="F219" s="14" t="inlineStr">
        <is>
          <t>2</t>
        </is>
      </c>
      <c r="G219" s="14" t="inlineStr">
        <is>
          <t>-</t>
        </is>
      </c>
      <c r="H219" s="14" t="n">
        <v>5</v>
      </c>
      <c r="I219" s="14" t="inlineStr">
        <is>
          <t>R5-DI01</t>
        </is>
      </c>
      <c r="J219" s="14" t="n">
        <v>12</v>
      </c>
      <c r="K219" s="14" t="inlineStr">
        <is>
          <t>YRD</t>
        </is>
      </c>
      <c r="L219" s="14" t="inlineStr">
        <is>
          <t>YRD-DI2</t>
        </is>
      </c>
      <c r="M219" s="14" t="inlineStr">
        <is>
          <t>NTSDDI1602XK</t>
        </is>
      </c>
      <c r="N219" s="14" t="n">
        <v>7</v>
      </c>
      <c r="O219" s="14" t="inlineStr">
        <is>
          <t>Dry contact, wetted 24 V DC from the panel supply</t>
        </is>
      </c>
      <c r="P219" s="14" t="inlineStr"/>
    </row>
    <row r="220" ht="15" customHeight="1">
      <c r="A220" s="14" t="inlineStr">
        <is>
          <t>FIRE-MAN-REL</t>
        </is>
      </c>
      <c r="B220" s="14" t="inlineStr">
        <is>
          <t>Manual release activated</t>
        </is>
      </c>
      <c r="C220" s="14" t="inlineStr">
        <is>
          <t>Fire detection and suppression panel</t>
        </is>
      </c>
      <c r="D220" s="14" t="inlineStr">
        <is>
          <t>DI</t>
        </is>
      </c>
      <c r="E220" s="14" t="inlineStr">
        <is>
          <t>Normally open</t>
        </is>
      </c>
      <c r="F220" s="14" t="inlineStr">
        <is>
          <t>1</t>
        </is>
      </c>
      <c r="G220" s="14" t="inlineStr">
        <is>
          <t>-</t>
        </is>
      </c>
      <c r="H220" s="14" t="n">
        <v>5</v>
      </c>
      <c r="I220" s="14" t="inlineStr">
        <is>
          <t>R5-DI01</t>
        </is>
      </c>
      <c r="J220" s="14" t="n">
        <v>13</v>
      </c>
      <c r="K220" s="14" t="inlineStr">
        <is>
          <t>YRD</t>
        </is>
      </c>
      <c r="L220" s="14" t="inlineStr">
        <is>
          <t>YRD-DI2</t>
        </is>
      </c>
      <c r="M220" s="14" t="inlineStr">
        <is>
          <t>NTSDDI1602XK</t>
        </is>
      </c>
      <c r="N220" s="14" t="n">
        <v>8</v>
      </c>
      <c r="O220" s="14" t="inlineStr">
        <is>
          <t>Dry contact, wetted 24 V DC from the panel supply</t>
        </is>
      </c>
      <c r="P220" s="14" t="inlineStr"/>
    </row>
    <row r="221" ht="15" customHeight="1">
      <c r="A221" s="14" t="inlineStr">
        <is>
          <t>FIRE-PSU-FLT</t>
        </is>
      </c>
      <c r="B221" s="14" t="inlineStr">
        <is>
          <t>Panel supply fault</t>
        </is>
      </c>
      <c r="C221" s="14" t="inlineStr">
        <is>
          <t>Fire detection and suppression panel</t>
        </is>
      </c>
      <c r="D221" s="14" t="inlineStr">
        <is>
          <t>DI</t>
        </is>
      </c>
      <c r="E221" s="14" t="inlineStr">
        <is>
          <t>Normally open</t>
        </is>
      </c>
      <c r="F221" s="14" t="inlineStr">
        <is>
          <t>2</t>
        </is>
      </c>
      <c r="G221" s="14" t="inlineStr">
        <is>
          <t>-</t>
        </is>
      </c>
      <c r="H221" s="14" t="n">
        <v>5</v>
      </c>
      <c r="I221" s="14" t="inlineStr">
        <is>
          <t>R5-DI01</t>
        </is>
      </c>
      <c r="J221" s="14" t="n">
        <v>14</v>
      </c>
      <c r="K221" s="14" t="inlineStr">
        <is>
          <t>YRD</t>
        </is>
      </c>
      <c r="L221" s="14" t="inlineStr">
        <is>
          <t>YRD-DI2</t>
        </is>
      </c>
      <c r="M221" s="14" t="inlineStr">
        <is>
          <t>NTSDDI1602XK</t>
        </is>
      </c>
      <c r="N221" s="14" t="n">
        <v>9</v>
      </c>
      <c r="O221" s="14" t="inlineStr">
        <is>
          <t>Dry contact, wetted 24 V DC from the panel supply</t>
        </is>
      </c>
      <c r="P221" s="14" t="inlineStr"/>
    </row>
    <row r="222" ht="15" customHeight="1">
      <c r="A222" s="14" t="inlineStr">
        <is>
          <t>ESTOP-BESS</t>
        </is>
      </c>
      <c r="B222" s="14" t="inlineStr">
        <is>
          <t>Plant emergency stop pressed, BESS area</t>
        </is>
      </c>
      <c r="C222" s="14" t="inlineStr">
        <is>
          <t>Emergency stops, doors and I/O panels</t>
        </is>
      </c>
      <c r="D222" s="14" t="inlineStr">
        <is>
          <t>DI</t>
        </is>
      </c>
      <c r="E222" s="14" t="inlineStr">
        <is>
          <t>Normally open</t>
        </is>
      </c>
      <c r="F222" s="14" t="inlineStr">
        <is>
          <t>1</t>
        </is>
      </c>
      <c r="G222" s="14" t="inlineStr">
        <is>
          <t>-</t>
        </is>
      </c>
      <c r="H222" s="14" t="n">
        <v>5</v>
      </c>
      <c r="I222" s="14" t="inlineStr">
        <is>
          <t>R5-DI01</t>
        </is>
      </c>
      <c r="J222" s="14" t="n">
        <v>15</v>
      </c>
      <c r="K222" s="14" t="inlineStr">
        <is>
          <t>YRD</t>
        </is>
      </c>
      <c r="L222" s="14" t="inlineStr">
        <is>
          <t>YRD-DI2</t>
        </is>
      </c>
      <c r="M222" s="14" t="inlineStr">
        <is>
          <t>NTSDDI1602XK</t>
        </is>
      </c>
      <c r="N222" s="14" t="n">
        <v>10</v>
      </c>
      <c r="O222" s="14" t="inlineStr">
        <is>
          <t>Dry contact, wetted 24 V DC from the panel supply</t>
        </is>
      </c>
      <c r="P222" s="14" t="inlineStr"/>
    </row>
    <row r="223" ht="15" customHeight="1">
      <c r="A223" s="14" t="inlineStr">
        <is>
          <t>DOOR-BESS</t>
        </is>
      </c>
      <c r="B223" s="14" t="inlineStr">
        <is>
          <t>BESS container door open</t>
        </is>
      </c>
      <c r="C223" s="14" t="inlineStr">
        <is>
          <t>Emergency stops, doors and I/O panels</t>
        </is>
      </c>
      <c r="D223" s="14" t="inlineStr">
        <is>
          <t>DI</t>
        </is>
      </c>
      <c r="E223" s="14" t="inlineStr">
        <is>
          <t>Normally open</t>
        </is>
      </c>
      <c r="F223" s="14" t="inlineStr">
        <is>
          <t>3</t>
        </is>
      </c>
      <c r="G223" s="14" t="inlineStr">
        <is>
          <t>-</t>
        </is>
      </c>
      <c r="H223" s="14" t="n">
        <v>5</v>
      </c>
      <c r="I223" s="14" t="inlineStr">
        <is>
          <t>R5-DI01</t>
        </is>
      </c>
      <c r="J223" s="14" t="n">
        <v>16</v>
      </c>
      <c r="K223" s="14" t="inlineStr">
        <is>
          <t>YRD</t>
        </is>
      </c>
      <c r="L223" s="14" t="inlineStr">
        <is>
          <t>YRD-DI2</t>
        </is>
      </c>
      <c r="M223" s="14" t="inlineStr">
        <is>
          <t>NTSDDI1602XK</t>
        </is>
      </c>
      <c r="N223" s="14" t="n">
        <v>11</v>
      </c>
      <c r="O223" s="14" t="inlineStr">
        <is>
          <t>Dry contact, wetted 24 V DC from the panel supply</t>
        </is>
      </c>
      <c r="P223" s="14" t="inlineStr"/>
    </row>
    <row r="224" ht="15" customHeight="1">
      <c r="A224" s="14" t="inlineStr">
        <is>
          <t>YARD-PNL-SUP-OK</t>
        </is>
      </c>
      <c r="B224" s="14" t="inlineStr">
        <is>
          <t>Yard I/O panel supply healthy</t>
        </is>
      </c>
      <c r="C224" s="14" t="inlineStr">
        <is>
          <t>Emergency stops, doors and I/O panels</t>
        </is>
      </c>
      <c r="D224" s="14" t="inlineStr">
        <is>
          <t>DI</t>
        </is>
      </c>
      <c r="E224" s="14" t="inlineStr">
        <is>
          <t>Normally closed</t>
        </is>
      </c>
      <c r="F224" s="14" t="inlineStr">
        <is>
          <t>2</t>
        </is>
      </c>
      <c r="G224" s="14" t="inlineStr">
        <is>
          <t>-</t>
        </is>
      </c>
      <c r="H224" s="14" t="n">
        <v>5</v>
      </c>
      <c r="I224" s="14" t="inlineStr">
        <is>
          <t>R5-DI02</t>
        </is>
      </c>
      <c r="J224" s="14" t="n">
        <v>1</v>
      </c>
      <c r="K224" s="14" t="inlineStr">
        <is>
          <t>YRD</t>
        </is>
      </c>
      <c r="L224" s="14" t="inlineStr">
        <is>
          <t>YRD-DI2</t>
        </is>
      </c>
      <c r="M224" s="14" t="inlineStr">
        <is>
          <t>NTSDDI1602XK</t>
        </is>
      </c>
      <c r="N224" s="14" t="n">
        <v>12</v>
      </c>
      <c r="O224" s="14" t="inlineStr">
        <is>
          <t>Dry contact, wetted 24 V DC from the panel supply</t>
        </is>
      </c>
      <c r="P224" s="14" t="inlineStr"/>
    </row>
    <row r="225" ht="15" customHeight="1">
      <c r="A225" s="14" t="inlineStr">
        <is>
          <t>YARD-PNL-DOOR</t>
        </is>
      </c>
      <c r="B225" s="14" t="inlineStr">
        <is>
          <t>Yard I/O panel door open</t>
        </is>
      </c>
      <c r="C225" s="14" t="inlineStr">
        <is>
          <t>Emergency stops, doors and I/O panels</t>
        </is>
      </c>
      <c r="D225" s="14" t="inlineStr">
        <is>
          <t>DI</t>
        </is>
      </c>
      <c r="E225" s="14" t="inlineStr">
        <is>
          <t>Normally open</t>
        </is>
      </c>
      <c r="F225" s="14" t="inlineStr">
        <is>
          <t>3</t>
        </is>
      </c>
      <c r="G225" s="14" t="inlineStr">
        <is>
          <t>-</t>
        </is>
      </c>
      <c r="H225" s="14" t="n">
        <v>5</v>
      </c>
      <c r="I225" s="14" t="inlineStr">
        <is>
          <t>R5-DI02</t>
        </is>
      </c>
      <c r="J225" s="14" t="n">
        <v>2</v>
      </c>
      <c r="K225" s="14" t="inlineStr">
        <is>
          <t>YRD</t>
        </is>
      </c>
      <c r="L225" s="14" t="inlineStr">
        <is>
          <t>YRD-DI2</t>
        </is>
      </c>
      <c r="M225" s="14" t="inlineStr">
        <is>
          <t>NTSDDI1602XK</t>
        </is>
      </c>
      <c r="N225" s="14" t="n">
        <v>13</v>
      </c>
      <c r="O225" s="14" t="inlineStr">
        <is>
          <t>Dry contact, wetted 24 V DC from the panel supply</t>
        </is>
      </c>
      <c r="P225" s="14" t="inlineStr"/>
    </row>
    <row r="226" ht="15" customHeight="1">
      <c r="A226" s="14" t="inlineStr">
        <is>
          <t>T-DG-OT-ALM</t>
        </is>
      </c>
      <c r="B226" s="14" t="inlineStr">
        <is>
          <t>Oil temperature alarm</t>
        </is>
      </c>
      <c r="C226" s="14" t="inlineStr">
        <is>
          <t>Generator step-up transformer</t>
        </is>
      </c>
      <c r="D226" s="14" t="inlineStr">
        <is>
          <t>DI</t>
        </is>
      </c>
      <c r="E226" s="14" t="inlineStr">
        <is>
          <t>Normally open</t>
        </is>
      </c>
      <c r="F226" s="14" t="inlineStr">
        <is>
          <t>3</t>
        </is>
      </c>
      <c r="G226" s="14" t="inlineStr">
        <is>
          <t>-</t>
        </is>
      </c>
      <c r="H226" s="14" t="n">
        <v>6</v>
      </c>
      <c r="I226" s="14" t="inlineStr">
        <is>
          <t>R6-DI01</t>
        </is>
      </c>
      <c r="J226" s="14" t="n">
        <v>1</v>
      </c>
      <c r="K226" s="14" t="inlineStr">
        <is>
          <t>GEN</t>
        </is>
      </c>
      <c r="L226" s="14" t="inlineStr">
        <is>
          <t>GEN-DI1</t>
        </is>
      </c>
      <c r="M226" s="14" t="inlineStr">
        <is>
          <t>NTSDDI1602XK</t>
        </is>
      </c>
      <c r="N226" s="14" t="n">
        <v>1</v>
      </c>
      <c r="O226" s="14" t="inlineStr">
        <is>
          <t>Dry contact, wetted 24 V DC from the panel supply</t>
        </is>
      </c>
      <c r="P226" s="14" t="inlineStr"/>
    </row>
    <row r="227" ht="15" customHeight="1">
      <c r="A227" s="14" t="inlineStr">
        <is>
          <t>T-DG-OT-TRIP</t>
        </is>
      </c>
      <c r="B227" s="14" t="inlineStr">
        <is>
          <t>Oil temperature trip</t>
        </is>
      </c>
      <c r="C227" s="14" t="inlineStr">
        <is>
          <t>Generator step-up transformer</t>
        </is>
      </c>
      <c r="D227" s="14" t="inlineStr">
        <is>
          <t>DI</t>
        </is>
      </c>
      <c r="E227" s="14" t="inlineStr">
        <is>
          <t>Normally open</t>
        </is>
      </c>
      <c r="F227" s="14" t="inlineStr">
        <is>
          <t>1</t>
        </is>
      </c>
      <c r="G227" s="14" t="inlineStr">
        <is>
          <t>-</t>
        </is>
      </c>
      <c r="H227" s="14" t="n">
        <v>6</v>
      </c>
      <c r="I227" s="14" t="inlineStr">
        <is>
          <t>R6-DI01</t>
        </is>
      </c>
      <c r="J227" s="14" t="n">
        <v>2</v>
      </c>
      <c r="K227" s="14" t="inlineStr">
        <is>
          <t>GEN</t>
        </is>
      </c>
      <c r="L227" s="14" t="inlineStr">
        <is>
          <t>GEN-DI1</t>
        </is>
      </c>
      <c r="M227" s="14" t="inlineStr">
        <is>
          <t>NTSDDI1602XK</t>
        </is>
      </c>
      <c r="N227" s="14" t="n">
        <v>2</v>
      </c>
      <c r="O227" s="14" t="inlineStr">
        <is>
          <t>Dry contact, wetted 24 V DC from the panel supply</t>
        </is>
      </c>
      <c r="P227" s="14" t="inlineStr"/>
    </row>
    <row r="228" ht="15" customHeight="1">
      <c r="A228" s="14" t="inlineStr">
        <is>
          <t>T-DG-WT-ALM</t>
        </is>
      </c>
      <c r="B228" s="14" t="inlineStr">
        <is>
          <t>Winding temperature alarm</t>
        </is>
      </c>
      <c r="C228" s="14" t="inlineStr">
        <is>
          <t>Generator step-up transformer</t>
        </is>
      </c>
      <c r="D228" s="14" t="inlineStr">
        <is>
          <t>DI</t>
        </is>
      </c>
      <c r="E228" s="14" t="inlineStr">
        <is>
          <t>Normally open</t>
        </is>
      </c>
      <c r="F228" s="14" t="inlineStr">
        <is>
          <t>3</t>
        </is>
      </c>
      <c r="G228" s="14" t="inlineStr">
        <is>
          <t>-</t>
        </is>
      </c>
      <c r="H228" s="14" t="n">
        <v>6</v>
      </c>
      <c r="I228" s="14" t="inlineStr">
        <is>
          <t>R6-DI01</t>
        </is>
      </c>
      <c r="J228" s="14" t="n">
        <v>3</v>
      </c>
      <c r="K228" s="14" t="inlineStr">
        <is>
          <t>GEN</t>
        </is>
      </c>
      <c r="L228" s="14" t="inlineStr">
        <is>
          <t>GEN-DI1</t>
        </is>
      </c>
      <c r="M228" s="14" t="inlineStr">
        <is>
          <t>NTSDDI1602XK</t>
        </is>
      </c>
      <c r="N228" s="14" t="n">
        <v>3</v>
      </c>
      <c r="O228" s="14" t="inlineStr">
        <is>
          <t>Dry contact, wetted 24 V DC from the panel supply</t>
        </is>
      </c>
      <c r="P228" s="14" t="inlineStr"/>
    </row>
    <row r="229" ht="15" customHeight="1">
      <c r="A229" s="14" t="inlineStr">
        <is>
          <t>T-DG-WT-TRIP</t>
        </is>
      </c>
      <c r="B229" s="14" t="inlineStr">
        <is>
          <t>Winding temperature trip</t>
        </is>
      </c>
      <c r="C229" s="14" t="inlineStr">
        <is>
          <t>Generator step-up transformer</t>
        </is>
      </c>
      <c r="D229" s="14" t="inlineStr">
        <is>
          <t>DI</t>
        </is>
      </c>
      <c r="E229" s="14" t="inlineStr">
        <is>
          <t>Normally open</t>
        </is>
      </c>
      <c r="F229" s="14" t="inlineStr">
        <is>
          <t>1</t>
        </is>
      </c>
      <c r="G229" s="14" t="inlineStr">
        <is>
          <t>-</t>
        </is>
      </c>
      <c r="H229" s="14" t="n">
        <v>6</v>
      </c>
      <c r="I229" s="14" t="inlineStr">
        <is>
          <t>R6-DI01</t>
        </is>
      </c>
      <c r="J229" s="14" t="n">
        <v>4</v>
      </c>
      <c r="K229" s="14" t="inlineStr">
        <is>
          <t>GEN</t>
        </is>
      </c>
      <c r="L229" s="14" t="inlineStr">
        <is>
          <t>GEN-DI1</t>
        </is>
      </c>
      <c r="M229" s="14" t="inlineStr">
        <is>
          <t>NTSDDI1602XK</t>
        </is>
      </c>
      <c r="N229" s="14" t="n">
        <v>4</v>
      </c>
      <c r="O229" s="14" t="inlineStr">
        <is>
          <t>Dry contact, wetted 24 V DC from the panel supply</t>
        </is>
      </c>
      <c r="P229" s="14" t="inlineStr"/>
    </row>
    <row r="230" ht="15" customHeight="1">
      <c r="A230" s="14" t="inlineStr">
        <is>
          <t>T-DG-PRD</t>
        </is>
      </c>
      <c r="B230" s="14" t="inlineStr">
        <is>
          <t>Pressure relief device operated</t>
        </is>
      </c>
      <c r="C230" s="14" t="inlineStr">
        <is>
          <t>Generator step-up transformer</t>
        </is>
      </c>
      <c r="D230" s="14" t="inlineStr">
        <is>
          <t>DI</t>
        </is>
      </c>
      <c r="E230" s="14" t="inlineStr">
        <is>
          <t>Normally open</t>
        </is>
      </c>
      <c r="F230" s="14" t="inlineStr">
        <is>
          <t>1</t>
        </is>
      </c>
      <c r="G230" s="14" t="inlineStr">
        <is>
          <t>-</t>
        </is>
      </c>
      <c r="H230" s="14" t="n">
        <v>6</v>
      </c>
      <c r="I230" s="14" t="inlineStr">
        <is>
          <t>R6-DI01</t>
        </is>
      </c>
      <c r="J230" s="14" t="n">
        <v>5</v>
      </c>
      <c r="K230" s="14" t="inlineStr">
        <is>
          <t>GEN</t>
        </is>
      </c>
      <c r="L230" s="14" t="inlineStr">
        <is>
          <t>GEN-DI1</t>
        </is>
      </c>
      <c r="M230" s="14" t="inlineStr">
        <is>
          <t>NTSDDI1602XK</t>
        </is>
      </c>
      <c r="N230" s="14" t="n">
        <v>5</v>
      </c>
      <c r="O230" s="14" t="inlineStr">
        <is>
          <t>Dry contact, wetted 24 V DC from the panel supply</t>
        </is>
      </c>
      <c r="P230" s="14" t="inlineStr"/>
    </row>
    <row r="231" ht="15" customHeight="1">
      <c r="A231" s="14" t="inlineStr">
        <is>
          <t>T-DG-OL-LOW</t>
        </is>
      </c>
      <c r="B231" s="14" t="inlineStr">
        <is>
          <t>Oil level low</t>
        </is>
      </c>
      <c r="C231" s="14" t="inlineStr">
        <is>
          <t>Generator step-up transformer</t>
        </is>
      </c>
      <c r="D231" s="14" t="inlineStr">
        <is>
          <t>DI</t>
        </is>
      </c>
      <c r="E231" s="14" t="inlineStr">
        <is>
          <t>Normally open</t>
        </is>
      </c>
      <c r="F231" s="14" t="inlineStr">
        <is>
          <t>2</t>
        </is>
      </c>
      <c r="G231" s="14" t="inlineStr">
        <is>
          <t>-</t>
        </is>
      </c>
      <c r="H231" s="14" t="n">
        <v>6</v>
      </c>
      <c r="I231" s="14" t="inlineStr">
        <is>
          <t>R6-DI01</t>
        </is>
      </c>
      <c r="J231" s="14" t="n">
        <v>6</v>
      </c>
      <c r="K231" s="14" t="inlineStr">
        <is>
          <t>GEN</t>
        </is>
      </c>
      <c r="L231" s="14" t="inlineStr">
        <is>
          <t>GEN-DI1</t>
        </is>
      </c>
      <c r="M231" s="14" t="inlineStr">
        <is>
          <t>NTSDDI1602XK</t>
        </is>
      </c>
      <c r="N231" s="14" t="n">
        <v>6</v>
      </c>
      <c r="O231" s="14" t="inlineStr">
        <is>
          <t>Dry contact, wetted 24 V DC from the panel supply</t>
        </is>
      </c>
      <c r="P231" s="14" t="inlineStr"/>
    </row>
    <row r="232" ht="15" customHeight="1">
      <c r="A232" s="14" t="inlineStr">
        <is>
          <t>GEN-ACB-CLSD</t>
        </is>
      </c>
      <c r="B232" s="14" t="inlineStr">
        <is>
          <t>DG step-up transformer LV breaker closed</t>
        </is>
      </c>
      <c r="C232" s="14" t="inlineStr">
        <is>
          <t>Generator step-up transformer</t>
        </is>
      </c>
      <c r="D232" s="14" t="inlineStr">
        <is>
          <t>DI</t>
        </is>
      </c>
      <c r="E232" s="14" t="inlineStr">
        <is>
          <t>Status</t>
        </is>
      </c>
      <c r="F232" s="14" t="inlineStr">
        <is>
          <t>Status</t>
        </is>
      </c>
      <c r="G232" s="14" t="inlineStr">
        <is>
          <t>-</t>
        </is>
      </c>
      <c r="H232" s="14" t="n">
        <v>6</v>
      </c>
      <c r="I232" s="14" t="inlineStr">
        <is>
          <t>R6-DI02</t>
        </is>
      </c>
      <c r="J232" s="14" t="n">
        <v>1</v>
      </c>
      <c r="K232" s="14" t="inlineStr">
        <is>
          <t>GEN</t>
        </is>
      </c>
      <c r="L232" s="14" t="inlineStr">
        <is>
          <t>GEN-DI1</t>
        </is>
      </c>
      <c r="M232" s="14" t="inlineStr">
        <is>
          <t>NTSDDI1602XK</t>
        </is>
      </c>
      <c r="N232" s="14" t="n">
        <v>7</v>
      </c>
      <c r="O232" s="14" t="inlineStr">
        <is>
          <t>Dry contact, wetted 24 V DC from the panel supply</t>
        </is>
      </c>
      <c r="P232" s="14" t="inlineStr"/>
    </row>
    <row r="233" ht="15" customHeight="1">
      <c r="A233" s="14" t="inlineStr">
        <is>
          <t>GEN-ACB-TRIP</t>
        </is>
      </c>
      <c r="B233" s="14" t="inlineStr">
        <is>
          <t>DG step-up transformer LV breaker tripped</t>
        </is>
      </c>
      <c r="C233" s="14" t="inlineStr">
        <is>
          <t>Generator step-up transformer</t>
        </is>
      </c>
      <c r="D233" s="14" t="inlineStr">
        <is>
          <t>DI</t>
        </is>
      </c>
      <c r="E233" s="14" t="inlineStr">
        <is>
          <t>Normally open</t>
        </is>
      </c>
      <c r="F233" s="14" t="inlineStr">
        <is>
          <t>1</t>
        </is>
      </c>
      <c r="G233" s="14" t="inlineStr">
        <is>
          <t>-</t>
        </is>
      </c>
      <c r="H233" s="14" t="n">
        <v>6</v>
      </c>
      <c r="I233" s="14" t="inlineStr">
        <is>
          <t>R6-DI02</t>
        </is>
      </c>
      <c r="J233" s="14" t="n">
        <v>2</v>
      </c>
      <c r="K233" s="14" t="inlineStr">
        <is>
          <t>GEN</t>
        </is>
      </c>
      <c r="L233" s="14" t="inlineStr">
        <is>
          <t>GEN-DI1</t>
        </is>
      </c>
      <c r="M233" s="14" t="inlineStr">
        <is>
          <t>NTSDDI1602XK</t>
        </is>
      </c>
      <c r="N233" s="14" t="n">
        <v>8</v>
      </c>
      <c r="O233" s="14" t="inlineStr">
        <is>
          <t>Dry contact, wetted 24 V DC from the panel supply</t>
        </is>
      </c>
      <c r="P233" s="14" t="inlineStr"/>
    </row>
    <row r="234" ht="15" customHeight="1">
      <c r="A234" s="14" t="inlineStr">
        <is>
          <t>DG1-GCB-CLSD</t>
        </is>
      </c>
      <c r="B234" s="14" t="inlineStr">
        <is>
          <t>Generator breaker closed</t>
        </is>
      </c>
      <c r="C234" s="14" t="inlineStr">
        <is>
          <t>Diesel generator DG1</t>
        </is>
      </c>
      <c r="D234" s="14" t="inlineStr">
        <is>
          <t>DI</t>
        </is>
      </c>
      <c r="E234" s="14" t="inlineStr">
        <is>
          <t>Status</t>
        </is>
      </c>
      <c r="F234" s="14" t="inlineStr">
        <is>
          <t>Status</t>
        </is>
      </c>
      <c r="G234" s="14" t="inlineStr">
        <is>
          <t>-</t>
        </is>
      </c>
      <c r="H234" s="14" t="n">
        <v>6</v>
      </c>
      <c r="I234" s="14" t="inlineStr">
        <is>
          <t>R6-DI01</t>
        </is>
      </c>
      <c r="J234" s="14" t="n">
        <v>7</v>
      </c>
      <c r="K234" s="14" t="inlineStr">
        <is>
          <t>GEN</t>
        </is>
      </c>
      <c r="L234" s="14" t="inlineStr">
        <is>
          <t>GEN-DI1</t>
        </is>
      </c>
      <c r="M234" s="14" t="inlineStr">
        <is>
          <t>NTSDDI1602XK</t>
        </is>
      </c>
      <c r="N234" s="14" t="n">
        <v>9</v>
      </c>
      <c r="O234" s="14" t="inlineStr">
        <is>
          <t>Dry contact, wetted 24 V DC from the panel supply</t>
        </is>
      </c>
      <c r="P234" s="14" t="inlineStr"/>
    </row>
    <row r="235" ht="15" customHeight="1">
      <c r="A235" s="14" t="inlineStr">
        <is>
          <t>DG1-COM-ALM</t>
        </is>
      </c>
      <c r="B235" s="14" t="inlineStr">
        <is>
          <t>Common alarm</t>
        </is>
      </c>
      <c r="C235" s="14" t="inlineStr">
        <is>
          <t>Diesel generator DG1</t>
        </is>
      </c>
      <c r="D235" s="14" t="inlineStr">
        <is>
          <t>DI</t>
        </is>
      </c>
      <c r="E235" s="14" t="inlineStr">
        <is>
          <t>Normally open</t>
        </is>
      </c>
      <c r="F235" s="14" t="inlineStr">
        <is>
          <t>2</t>
        </is>
      </c>
      <c r="G235" s="14" t="inlineStr">
        <is>
          <t>-</t>
        </is>
      </c>
      <c r="H235" s="14" t="n">
        <v>6</v>
      </c>
      <c r="I235" s="14" t="inlineStr">
        <is>
          <t>R6-DI01</t>
        </is>
      </c>
      <c r="J235" s="14" t="n">
        <v>8</v>
      </c>
      <c r="K235" s="14" t="inlineStr">
        <is>
          <t>GEN</t>
        </is>
      </c>
      <c r="L235" s="14" t="inlineStr">
        <is>
          <t>GEN-DI2</t>
        </is>
      </c>
      <c r="M235" s="14" t="inlineStr">
        <is>
          <t>NTSDDI1602XK</t>
        </is>
      </c>
      <c r="N235" s="14" t="n">
        <v>1</v>
      </c>
      <c r="O235" s="14" t="inlineStr">
        <is>
          <t>Dry contact, wetted 24 V DC from the panel supply</t>
        </is>
      </c>
      <c r="P235" s="14" t="inlineStr"/>
    </row>
    <row r="236" ht="15" customHeight="1">
      <c r="A236" s="14" t="inlineStr">
        <is>
          <t>DG1-ESTOP</t>
        </is>
      </c>
      <c r="B236" s="14" t="inlineStr">
        <is>
          <t>Emergency stop active</t>
        </is>
      </c>
      <c r="C236" s="14" t="inlineStr">
        <is>
          <t>Diesel generator DG1</t>
        </is>
      </c>
      <c r="D236" s="14" t="inlineStr">
        <is>
          <t>DI</t>
        </is>
      </c>
      <c r="E236" s="14" t="inlineStr">
        <is>
          <t>Normally open</t>
        </is>
      </c>
      <c r="F236" s="14" t="inlineStr">
        <is>
          <t>1</t>
        </is>
      </c>
      <c r="G236" s="14" t="inlineStr">
        <is>
          <t>-</t>
        </is>
      </c>
      <c r="H236" s="14" t="n">
        <v>6</v>
      </c>
      <c r="I236" s="14" t="inlineStr">
        <is>
          <t>R6-DI01</t>
        </is>
      </c>
      <c r="J236" s="14" t="n">
        <v>9</v>
      </c>
      <c r="K236" s="14" t="inlineStr">
        <is>
          <t>GEN</t>
        </is>
      </c>
      <c r="L236" s="14" t="inlineStr">
        <is>
          <t>GEN-DI2</t>
        </is>
      </c>
      <c r="M236" s="14" t="inlineStr">
        <is>
          <t>NTSDDI1602XK</t>
        </is>
      </c>
      <c r="N236" s="14" t="n">
        <v>2</v>
      </c>
      <c r="O236" s="14" t="inlineStr">
        <is>
          <t>Dry contact, wetted 24 V DC from the panel supply</t>
        </is>
      </c>
      <c r="P236" s="14" t="inlineStr"/>
    </row>
    <row r="237" ht="15" customHeight="1">
      <c r="A237" s="14" t="inlineStr">
        <is>
          <t>DG1-RUN</t>
        </is>
      </c>
      <c r="B237" s="14" t="inlineStr">
        <is>
          <t>Engine running</t>
        </is>
      </c>
      <c r="C237" s="14" t="inlineStr">
        <is>
          <t>Diesel generator DG1</t>
        </is>
      </c>
      <c r="D237" s="14" t="inlineStr">
        <is>
          <t>DI</t>
        </is>
      </c>
      <c r="E237" s="14" t="inlineStr">
        <is>
          <t>Status</t>
        </is>
      </c>
      <c r="F237" s="14" t="inlineStr">
        <is>
          <t>Status</t>
        </is>
      </c>
      <c r="G237" s="14" t="inlineStr">
        <is>
          <t>-</t>
        </is>
      </c>
      <c r="H237" s="14" t="n">
        <v>6</v>
      </c>
      <c r="I237" s="14" t="inlineStr">
        <is>
          <t>R6-DI01</t>
        </is>
      </c>
      <c r="J237" s="14" t="n">
        <v>10</v>
      </c>
      <c r="K237" s="14" t="inlineStr">
        <is>
          <t>GEN</t>
        </is>
      </c>
      <c r="L237" s="14" t="inlineStr">
        <is>
          <t>GEN-DI2</t>
        </is>
      </c>
      <c r="M237" s="14" t="inlineStr">
        <is>
          <t>NTSDDI1602XK</t>
        </is>
      </c>
      <c r="N237" s="14" t="n">
        <v>3</v>
      </c>
      <c r="O237" s="14" t="inlineStr">
        <is>
          <t>Dry contact, wetted 24 V DC from the panel supply</t>
        </is>
      </c>
      <c r="P237" s="14" t="inlineStr"/>
    </row>
    <row r="238" ht="15" customHeight="1">
      <c r="A238" s="14" t="inlineStr">
        <is>
          <t>DG2-GCB-CLSD</t>
        </is>
      </c>
      <c r="B238" s="14" t="inlineStr">
        <is>
          <t>Generator breaker closed</t>
        </is>
      </c>
      <c r="C238" s="14" t="inlineStr">
        <is>
          <t>Diesel generator DG2</t>
        </is>
      </c>
      <c r="D238" s="14" t="inlineStr">
        <is>
          <t>DI</t>
        </is>
      </c>
      <c r="E238" s="14" t="inlineStr">
        <is>
          <t>Status</t>
        </is>
      </c>
      <c r="F238" s="14" t="inlineStr">
        <is>
          <t>Status</t>
        </is>
      </c>
      <c r="G238" s="14" t="inlineStr">
        <is>
          <t>-</t>
        </is>
      </c>
      <c r="H238" s="14" t="n">
        <v>6</v>
      </c>
      <c r="I238" s="14" t="inlineStr">
        <is>
          <t>R6-DI01</t>
        </is>
      </c>
      <c r="J238" s="14" t="n">
        <v>11</v>
      </c>
      <c r="K238" s="14" t="inlineStr">
        <is>
          <t>GEN</t>
        </is>
      </c>
      <c r="L238" s="14" t="inlineStr">
        <is>
          <t>GEN-DI2</t>
        </is>
      </c>
      <c r="M238" s="14" t="inlineStr">
        <is>
          <t>NTSDDI1602XK</t>
        </is>
      </c>
      <c r="N238" s="14" t="n">
        <v>4</v>
      </c>
      <c r="O238" s="14" t="inlineStr">
        <is>
          <t>Dry contact, wetted 24 V DC from the panel supply</t>
        </is>
      </c>
      <c r="P238" s="14" t="inlineStr"/>
    </row>
    <row r="239" ht="15" customHeight="1">
      <c r="A239" s="14" t="inlineStr">
        <is>
          <t>DG2-COM-ALM</t>
        </is>
      </c>
      <c r="B239" s="14" t="inlineStr">
        <is>
          <t>Common alarm</t>
        </is>
      </c>
      <c r="C239" s="14" t="inlineStr">
        <is>
          <t>Diesel generator DG2</t>
        </is>
      </c>
      <c r="D239" s="14" t="inlineStr">
        <is>
          <t>DI</t>
        </is>
      </c>
      <c r="E239" s="14" t="inlineStr">
        <is>
          <t>Normally open</t>
        </is>
      </c>
      <c r="F239" s="14" t="inlineStr">
        <is>
          <t>2</t>
        </is>
      </c>
      <c r="G239" s="14" t="inlineStr">
        <is>
          <t>-</t>
        </is>
      </c>
      <c r="H239" s="14" t="n">
        <v>6</v>
      </c>
      <c r="I239" s="14" t="inlineStr">
        <is>
          <t>R6-DI01</t>
        </is>
      </c>
      <c r="J239" s="14" t="n">
        <v>12</v>
      </c>
      <c r="K239" s="14" t="inlineStr">
        <is>
          <t>GEN</t>
        </is>
      </c>
      <c r="L239" s="14" t="inlineStr">
        <is>
          <t>GEN-DI2</t>
        </is>
      </c>
      <c r="M239" s="14" t="inlineStr">
        <is>
          <t>NTSDDI1602XK</t>
        </is>
      </c>
      <c r="N239" s="14" t="n">
        <v>5</v>
      </c>
      <c r="O239" s="14" t="inlineStr">
        <is>
          <t>Dry contact, wetted 24 V DC from the panel supply</t>
        </is>
      </c>
      <c r="P239" s="14" t="inlineStr"/>
    </row>
    <row r="240" ht="15" customHeight="1">
      <c r="A240" s="14" t="inlineStr">
        <is>
          <t>DG2-ESTOP</t>
        </is>
      </c>
      <c r="B240" s="14" t="inlineStr">
        <is>
          <t>Emergency stop active</t>
        </is>
      </c>
      <c r="C240" s="14" t="inlineStr">
        <is>
          <t>Diesel generator DG2</t>
        </is>
      </c>
      <c r="D240" s="14" t="inlineStr">
        <is>
          <t>DI</t>
        </is>
      </c>
      <c r="E240" s="14" t="inlineStr">
        <is>
          <t>Normally open</t>
        </is>
      </c>
      <c r="F240" s="14" t="inlineStr">
        <is>
          <t>1</t>
        </is>
      </c>
      <c r="G240" s="14" t="inlineStr">
        <is>
          <t>-</t>
        </is>
      </c>
      <c r="H240" s="14" t="n">
        <v>6</v>
      </c>
      <c r="I240" s="14" t="inlineStr">
        <is>
          <t>R6-DI01</t>
        </is>
      </c>
      <c r="J240" s="14" t="n">
        <v>13</v>
      </c>
      <c r="K240" s="14" t="inlineStr">
        <is>
          <t>GEN</t>
        </is>
      </c>
      <c r="L240" s="14" t="inlineStr">
        <is>
          <t>GEN-DI2</t>
        </is>
      </c>
      <c r="M240" s="14" t="inlineStr">
        <is>
          <t>NTSDDI1602XK</t>
        </is>
      </c>
      <c r="N240" s="14" t="n">
        <v>6</v>
      </c>
      <c r="O240" s="14" t="inlineStr">
        <is>
          <t>Dry contact, wetted 24 V DC from the panel supply</t>
        </is>
      </c>
      <c r="P240" s="14" t="inlineStr"/>
    </row>
    <row r="241" ht="15" customHeight="1">
      <c r="A241" s="14" t="inlineStr">
        <is>
          <t>DG2-RUN</t>
        </is>
      </c>
      <c r="B241" s="14" t="inlineStr">
        <is>
          <t>Engine running</t>
        </is>
      </c>
      <c r="C241" s="14" t="inlineStr">
        <is>
          <t>Diesel generator DG2</t>
        </is>
      </c>
      <c r="D241" s="14" t="inlineStr">
        <is>
          <t>DI</t>
        </is>
      </c>
      <c r="E241" s="14" t="inlineStr">
        <is>
          <t>Status</t>
        </is>
      </c>
      <c r="F241" s="14" t="inlineStr">
        <is>
          <t>Status</t>
        </is>
      </c>
      <c r="G241" s="14" t="inlineStr">
        <is>
          <t>-</t>
        </is>
      </c>
      <c r="H241" s="14" t="n">
        <v>6</v>
      </c>
      <c r="I241" s="14" t="inlineStr">
        <is>
          <t>R6-DI01</t>
        </is>
      </c>
      <c r="J241" s="14" t="n">
        <v>14</v>
      </c>
      <c r="K241" s="14" t="inlineStr">
        <is>
          <t>GEN</t>
        </is>
      </c>
      <c r="L241" s="14" t="inlineStr">
        <is>
          <t>GEN-DI2</t>
        </is>
      </c>
      <c r="M241" s="14" t="inlineStr">
        <is>
          <t>NTSDDI1602XK</t>
        </is>
      </c>
      <c r="N241" s="14" t="n">
        <v>7</v>
      </c>
      <c r="O241" s="14" t="inlineStr">
        <is>
          <t>Dry contact, wetted 24 V DC from the panel supply</t>
        </is>
      </c>
      <c r="P241" s="14" t="inlineStr"/>
    </row>
    <row r="242" ht="15" customHeight="1">
      <c r="A242" s="14" t="inlineStr">
        <is>
          <t>GEN-PNL-SUP-OK</t>
        </is>
      </c>
      <c r="B242" s="14" t="inlineStr">
        <is>
          <t>Generator I/O panel supply healthy</t>
        </is>
      </c>
      <c r="C242" s="14" t="inlineStr">
        <is>
          <t>Emergency stops, doors and I/O panels</t>
        </is>
      </c>
      <c r="D242" s="14" t="inlineStr">
        <is>
          <t>DI</t>
        </is>
      </c>
      <c r="E242" s="14" t="inlineStr">
        <is>
          <t>Normally closed</t>
        </is>
      </c>
      <c r="F242" s="14" t="inlineStr">
        <is>
          <t>2</t>
        </is>
      </c>
      <c r="G242" s="14" t="inlineStr">
        <is>
          <t>-</t>
        </is>
      </c>
      <c r="H242" s="14" t="n">
        <v>6</v>
      </c>
      <c r="I242" s="14" t="inlineStr">
        <is>
          <t>R6-DI01</t>
        </is>
      </c>
      <c r="J242" s="14" t="n">
        <v>15</v>
      </c>
      <c r="K242" s="14" t="inlineStr">
        <is>
          <t>GEN</t>
        </is>
      </c>
      <c r="L242" s="14" t="inlineStr">
        <is>
          <t>GEN-DI2</t>
        </is>
      </c>
      <c r="M242" s="14" t="inlineStr">
        <is>
          <t>NTSDDI1602XK</t>
        </is>
      </c>
      <c r="N242" s="14" t="n">
        <v>8</v>
      </c>
      <c r="O242" s="14" t="inlineStr">
        <is>
          <t>Dry contact, wetted 24 V DC from the panel supply</t>
        </is>
      </c>
      <c r="P242" s="14" t="inlineStr"/>
    </row>
    <row r="243" ht="15" customHeight="1">
      <c r="A243" s="14" t="inlineStr">
        <is>
          <t>GEN-PNL-DOOR</t>
        </is>
      </c>
      <c r="B243" s="14" t="inlineStr">
        <is>
          <t>Generator I/O panel door open</t>
        </is>
      </c>
      <c r="C243" s="14" t="inlineStr">
        <is>
          <t>Emergency stops, doors and I/O panels</t>
        </is>
      </c>
      <c r="D243" s="14" t="inlineStr">
        <is>
          <t>DI</t>
        </is>
      </c>
      <c r="E243" s="14" t="inlineStr">
        <is>
          <t>Normally open</t>
        </is>
      </c>
      <c r="F243" s="14" t="inlineStr">
        <is>
          <t>3</t>
        </is>
      </c>
      <c r="G243" s="14" t="inlineStr">
        <is>
          <t>-</t>
        </is>
      </c>
      <c r="H243" s="14" t="n">
        <v>6</v>
      </c>
      <c r="I243" s="14" t="inlineStr">
        <is>
          <t>R6-DI01</t>
        </is>
      </c>
      <c r="J243" s="14" t="n">
        <v>16</v>
      </c>
      <c r="K243" s="14" t="inlineStr">
        <is>
          <t>GEN</t>
        </is>
      </c>
      <c r="L243" s="14" t="inlineStr">
        <is>
          <t>GEN-DI2</t>
        </is>
      </c>
      <c r="M243" s="14" t="inlineStr">
        <is>
          <t>NTSDDI1602XK</t>
        </is>
      </c>
      <c r="N243" s="14" t="n">
        <v>9</v>
      </c>
      <c r="O243" s="14" t="inlineStr">
        <is>
          <t>Dry contact, wetted 24 V DC from the panel supply</t>
        </is>
      </c>
      <c r="P243" s="14" t="inlineStr"/>
    </row>
    <row r="244" ht="15" customHeight="1">
      <c r="A244" s="14" t="inlineStr">
        <is>
          <t>DG1-FUEL</t>
        </is>
      </c>
      <c r="B244" s="14" t="inlineStr">
        <is>
          <t>Fuel tank level</t>
        </is>
      </c>
      <c r="C244" s="14" t="inlineStr">
        <is>
          <t>Diesel generator DG1</t>
        </is>
      </c>
      <c r="D244" s="14" t="inlineStr">
        <is>
          <t>AI</t>
        </is>
      </c>
      <c r="E244" s="14" t="inlineStr">
        <is>
          <t>4-20 mA = 0-100 %</t>
        </is>
      </c>
      <c r="F244" s="14" t="inlineStr">
        <is>
          <t>3 below 20 %</t>
        </is>
      </c>
      <c r="G244" s="14" t="inlineStr">
        <is>
          <t>-</t>
        </is>
      </c>
      <c r="H244" s="14" t="n">
        <v>6</v>
      </c>
      <c r="I244" s="14" t="inlineStr">
        <is>
          <t>R6-AI01</t>
        </is>
      </c>
      <c r="J244" s="14" t="n">
        <v>1</v>
      </c>
      <c r="K244" s="14" t="inlineStr">
        <is>
          <t>GEN</t>
        </is>
      </c>
      <c r="L244" s="14" t="inlineStr">
        <is>
          <t>GEN-AI1</t>
        </is>
      </c>
      <c r="M244" s="14" t="inlineStr">
        <is>
          <t>NTS analogue input (to select)</t>
        </is>
      </c>
      <c r="N244" s="14" t="n">
        <v>1</v>
      </c>
      <c r="O244" s="14" t="inlineStr">
        <is>
          <t>4-20 mA, 4-20 mA = 0-100 %</t>
        </is>
      </c>
      <c r="P244" s="14" t="inlineStr"/>
    </row>
    <row r="245" ht="15" customHeight="1">
      <c r="A245" s="14" t="inlineStr">
        <is>
          <t>DG2-FUEL</t>
        </is>
      </c>
      <c r="B245" s="14" t="inlineStr">
        <is>
          <t>Fuel tank level</t>
        </is>
      </c>
      <c r="C245" s="14" t="inlineStr">
        <is>
          <t>Diesel generator DG2</t>
        </is>
      </c>
      <c r="D245" s="14" t="inlineStr">
        <is>
          <t>AI</t>
        </is>
      </c>
      <c r="E245" s="14" t="inlineStr">
        <is>
          <t>4-20 mA = 0-100 %</t>
        </is>
      </c>
      <c r="F245" s="14" t="inlineStr">
        <is>
          <t>3 below 20 %</t>
        </is>
      </c>
      <c r="G245" s="14" t="inlineStr">
        <is>
          <t>-</t>
        </is>
      </c>
      <c r="H245" s="14" t="n">
        <v>6</v>
      </c>
      <c r="I245" s="14" t="inlineStr">
        <is>
          <t>R6-AI01</t>
        </is>
      </c>
      <c r="J245" s="14" t="n">
        <v>2</v>
      </c>
      <c r="K245" s="14" t="inlineStr">
        <is>
          <t>GEN</t>
        </is>
      </c>
      <c r="L245" s="14" t="inlineStr">
        <is>
          <t>GEN-AI1</t>
        </is>
      </c>
      <c r="M245" s="14" t="inlineStr">
        <is>
          <t>NTS analogue input (to select)</t>
        </is>
      </c>
      <c r="N245" s="14" t="n">
        <v>2</v>
      </c>
      <c r="O245" s="14" t="inlineStr">
        <is>
          <t>4-20 mA, 4-20 mA = 0-100 %</t>
        </is>
      </c>
      <c r="P245" s="14" t="inlineStr"/>
    </row>
  </sheetData>
  <autoFilter ref="A1:P24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22" customWidth="1" min="1" max="1"/>
    <col width="52" customWidth="1" min="2" max="2"/>
    <col width="9" customWidth="1" min="3" max="3"/>
    <col width="11" customWidth="1" min="4" max="4"/>
    <col width="18" customWidth="1" min="5" max="5"/>
    <col width="70" customWidth="1" min="6" max="6"/>
  </cols>
  <sheetData>
    <row r="1">
      <c r="A1" s="1" t="inlineStr">
        <is>
          <t>Changes against the Schneider offer</t>
        </is>
      </c>
    </row>
    <row r="2">
      <c r="A2" s="4" t="inlineStr">
        <is>
          <t>Quantities include one spare per module type, as in the offer. "Not priced" = in the offer PDF and drawing but not in the priced bill of material.</t>
        </is>
      </c>
    </row>
    <row r="4">
      <c r="A4" s="2" t="inlineStr">
        <is>
          <t>Reference</t>
        </is>
      </c>
      <c r="B4" s="2" t="inlineStr">
        <is>
          <t>Description</t>
        </is>
      </c>
      <c r="C4" s="2" t="inlineStr">
        <is>
          <t>Offer qty</t>
        </is>
      </c>
      <c r="D4" s="2" t="inlineStr">
        <is>
          <t>Proposed qty</t>
        </is>
      </c>
      <c r="E4" s="2" t="inlineStr">
        <is>
          <t>Change</t>
        </is>
      </c>
      <c r="F4" s="2" t="inlineStr">
        <is>
          <t>Reason</t>
        </is>
      </c>
    </row>
    <row r="5" ht="30" customHeight="1">
      <c r="A5" s="3" t="inlineStr">
        <is>
          <t>HMIP67GD0F88BE7N00</t>
        </is>
      </c>
      <c r="B5" s="3" t="inlineStr">
        <is>
          <t>Industrial panel PC (no description in the offer)</t>
        </is>
      </c>
      <c r="C5" s="3" t="n">
        <v>2</v>
      </c>
      <c r="D5" s="3" t="n">
        <v>2</v>
      </c>
      <c r="E5" s="3" t="inlineStr">
        <is>
          <t>Keep; clarify</t>
        </is>
      </c>
      <c r="F5" s="3" t="inlineStr">
        <is>
          <t>Confirm model, and whether the SCADA runs on these PCs or on servers (Other Items, item 4).</t>
        </is>
      </c>
    </row>
    <row r="6" ht="30" customHeight="1">
      <c r="A6" s="3" t="inlineStr">
        <is>
          <t>HMIEMSE3PRT4KA</t>
        </is>
      </c>
      <c r="B6" s="3" t="inlineStr">
        <is>
          <t>Machine SCADA Expert runtime, 4K tags</t>
        </is>
      </c>
      <c r="C6" s="3" t="n">
        <v>2</v>
      </c>
      <c r="D6" s="3" t="n">
        <v>2</v>
      </c>
      <c r="E6" s="3" t="inlineStr">
        <is>
          <t>Keep</t>
        </is>
      </c>
      <c r="F6" s="3" t="inlineStr">
        <is>
          <t>707 tags (244 hardwired + 463 communication) fit in 4K.</t>
        </is>
      </c>
    </row>
    <row r="7" ht="30" customHeight="1">
      <c r="A7" s="3" t="inlineStr">
        <is>
          <t>HMIEMSEBT4KA</t>
        </is>
      </c>
      <c r="B7" s="3" t="inlineStr">
        <is>
          <t>Machine SCADA Expert build-time, 4K tags</t>
        </is>
      </c>
      <c r="C7" s="3" t="n">
        <v>1</v>
      </c>
      <c r="D7" s="3" t="n">
        <v>1</v>
      </c>
      <c r="E7" s="3" t="inlineStr">
        <is>
          <t>Keep</t>
        </is>
      </c>
      <c r="F7" s="3" t="inlineStr"/>
    </row>
    <row r="8" ht="30" customHeight="1">
      <c r="A8" s="3" t="inlineStr">
        <is>
          <t>BMEXBP0800</t>
        </is>
      </c>
      <c r="B8" s="3" t="inlineStr">
        <is>
          <t>X80 8-slot Ethernet backplane (CPU rack)</t>
        </is>
      </c>
      <c r="C8" s="3" t="n">
        <v>2</v>
      </c>
      <c r="D8" s="3" t="n">
        <v>2</v>
      </c>
      <c r="E8" s="3" t="inlineStr">
        <is>
          <t>Keep</t>
        </is>
      </c>
      <c r="F8" s="3" t="inlineStr">
        <is>
          <t>CPU rack, no I/O. See Other Items, item 1 for hot standby.</t>
        </is>
      </c>
    </row>
    <row r="9" ht="30" customHeight="1">
      <c r="A9" s="3" t="inlineStr">
        <is>
          <t>BMXCPS3020</t>
        </is>
      </c>
      <c r="B9" s="3" t="inlineStr">
        <is>
          <t>X80 power supply 24-48 V DC</t>
        </is>
      </c>
      <c r="C9" s="3" t="n">
        <v>3</v>
      </c>
      <c r="D9" s="3" t="n">
        <v>3</v>
      </c>
      <c r="E9" s="3" t="inlineStr">
        <is>
          <t>Keep</t>
        </is>
      </c>
      <c r="F9" s="3" t="inlineStr">
        <is>
          <t>CPU rack, switchroom drop, spare.</t>
        </is>
      </c>
    </row>
    <row r="10" ht="30" customHeight="1">
      <c r="A10" s="3" t="inlineStr">
        <is>
          <t>BMEP582040</t>
        </is>
      </c>
      <c r="B10" s="3" t="inlineStr">
        <is>
          <t>M580 CPU</t>
        </is>
      </c>
      <c r="C10" s="3" t="n">
        <v>2</v>
      </c>
      <c r="D10" s="3" t="n">
        <v>2</v>
      </c>
      <c r="E10" s="3" t="inlineStr">
        <is>
          <t>Keep or replace</t>
        </is>
      </c>
      <c r="F10" s="3" t="inlineStr">
        <is>
          <t>Simplex as offered; the design requires a hot standby pair (Other Items, item 1).</t>
        </is>
      </c>
    </row>
    <row r="11" ht="30" customHeight="1">
      <c r="A11" s="3" t="inlineStr">
        <is>
          <t>BMENOC0311</t>
        </is>
      </c>
      <c r="B11" s="3" t="inlineStr">
        <is>
          <t>M580 Ethernet communication module</t>
        </is>
      </c>
      <c r="C11" s="3" t="n">
        <v>2</v>
      </c>
      <c r="D11" s="3" t="n">
        <v>2</v>
      </c>
      <c r="E11" s="3" t="inlineStr">
        <is>
          <t>Keep</t>
        </is>
      </c>
      <c r="F11" s="3" t="inlineStr"/>
    </row>
    <row r="12" ht="30" customHeight="1">
      <c r="A12" s="3" t="inlineStr">
        <is>
          <t>BMENOC0321</t>
        </is>
      </c>
      <c r="B12" s="3" t="inlineStr">
        <is>
          <t>M580 Ethernet module, IP forwarding</t>
        </is>
      </c>
      <c r="C12" s="3" t="n">
        <v>1</v>
      </c>
      <c r="D12" s="3" t="n">
        <v>1</v>
      </c>
      <c r="E12" s="3" t="inlineStr">
        <is>
          <t>Keep</t>
        </is>
      </c>
      <c r="F12" s="3" t="inlineStr"/>
    </row>
    <row r="13" ht="30" customHeight="1">
      <c r="A13" s="3" t="inlineStr">
        <is>
          <t>BMEXBP1200</t>
        </is>
      </c>
      <c r="B13" s="3" t="inlineStr">
        <is>
          <t>X80 12-slot Ethernet backplane (switchroom drop)</t>
        </is>
      </c>
      <c r="C13" s="3" t="n">
        <v>1</v>
      </c>
      <c r="D13" s="3" t="n">
        <v>1</v>
      </c>
      <c r="E13" s="3" t="inlineStr">
        <is>
          <t>Keep</t>
        </is>
      </c>
      <c r="F13" s="3" t="inlineStr">
        <is>
          <t>Holds CRA, 4 DI, 1 DO, 1 AI and the serial module.</t>
        </is>
      </c>
    </row>
    <row r="14" ht="30" customHeight="1">
      <c r="A14" s="3" t="inlineStr">
        <is>
          <t>BMECRA31210</t>
        </is>
      </c>
      <c r="B14" s="3" t="inlineStr">
        <is>
          <t>X80 Ethernet drop adapter</t>
        </is>
      </c>
      <c r="C14" s="3" t="n">
        <v>1</v>
      </c>
      <c r="D14" s="3" t="n">
        <v>1</v>
      </c>
      <c r="E14" s="3" t="inlineStr">
        <is>
          <t>Keep</t>
        </is>
      </c>
      <c r="F14" s="3" t="inlineStr"/>
    </row>
    <row r="15" ht="30" customHeight="1">
      <c r="A15" s="3" t="inlineStr">
        <is>
          <t>BMXDDI3202K</t>
        </is>
      </c>
      <c r="B15" s="3" t="inlineStr">
        <is>
          <t>X80 digital input, 32 channels, 24 V DC</t>
        </is>
      </c>
      <c r="C15" s="3" t="n">
        <v>5</v>
      </c>
      <c r="D15" s="3" t="n">
        <v>5</v>
      </c>
      <c r="E15" s="3" t="inlineStr">
        <is>
          <t>Same quantity, moved</t>
        </is>
      </c>
      <c r="F15" s="3" t="inlineStr">
        <is>
          <t>All 4 in the switchroom drop (94 inputs on 128 channels) + 1 spare; none in the CPU rack.</t>
        </is>
      </c>
    </row>
    <row r="16" ht="30" customHeight="1">
      <c r="A16" s="3" t="inlineStr">
        <is>
          <t>BMXDDO3202K</t>
        </is>
      </c>
      <c r="B16" s="3" t="inlineStr">
        <is>
          <t>X80 digital output, 32 channels, 24 V DC</t>
        </is>
      </c>
      <c r="C16" s="3" t="n">
        <v>4</v>
      </c>
      <c r="D16" s="3" t="n">
        <v>2</v>
      </c>
      <c r="E16" s="3" t="inlineStr">
        <is>
          <t>Reduce by 2</t>
        </is>
      </c>
      <c r="F16" s="3" t="inlineStr">
        <is>
          <t>Switchroom has 16 outputs: 1 module + 1 spare.</t>
        </is>
      </c>
    </row>
    <row r="17" ht="30" customHeight="1">
      <c r="A17" s="3" t="inlineStr">
        <is>
          <t>BMXFCW303</t>
        </is>
      </c>
      <c r="B17" s="3" t="inlineStr">
        <is>
          <t>Pre-wired cable for 32-channel modules</t>
        </is>
      </c>
      <c r="C17" s="3" t="n">
        <v>7</v>
      </c>
      <c r="D17" s="3" t="n">
        <v>7</v>
      </c>
      <c r="E17" s="3" t="inlineStr">
        <is>
          <t>Keep</t>
        </is>
      </c>
      <c r="F17" s="3" t="inlineStr">
        <is>
          <t>One per 32-channel module including spares.</t>
        </is>
      </c>
    </row>
    <row r="18" ht="30" customHeight="1">
      <c r="A18" s="3" t="inlineStr">
        <is>
          <t>BMXAMI0410</t>
        </is>
      </c>
      <c r="B18" s="3" t="inlineStr">
        <is>
          <t>X80 analogue input, 4 isolated channels, with its terminal block</t>
        </is>
      </c>
      <c r="C18" s="3" t="n">
        <v>0</v>
      </c>
      <c r="D18" s="3" t="n">
        <v>2</v>
      </c>
      <c r="E18" s="15" t="inlineStr">
        <is>
          <t>Add 2</t>
        </is>
      </c>
      <c r="F18" s="3" t="inlineStr">
        <is>
          <t>DC bus voltages 110 V and 24 V (4-20 mA); 1 + 1 spare.</t>
        </is>
      </c>
    </row>
    <row r="19" ht="30" customHeight="1">
      <c r="A19" s="3" t="inlineStr">
        <is>
          <t>BMXNOM0200</t>
        </is>
      </c>
      <c r="B19" s="3" t="inlineStr">
        <is>
          <t>X80 serial module, Modbus RTU</t>
        </is>
      </c>
      <c r="C19" s="3" t="n">
        <v>1</v>
      </c>
      <c r="D19" s="3" t="n">
        <v>1</v>
      </c>
      <c r="E19" s="3" t="inlineStr">
        <is>
          <t>Keep; confirm use</t>
        </is>
      </c>
      <c r="F19" s="3" t="inlineStr">
        <is>
          <t>State which switchroom devices it serves.</t>
        </is>
      </c>
    </row>
    <row r="20" ht="30" customHeight="1">
      <c r="A20" s="3" t="inlineStr">
        <is>
          <t>VW3A8306R10</t>
        </is>
      </c>
      <c r="B20" s="3" t="inlineStr">
        <is>
          <t>RS485 cable</t>
        </is>
      </c>
      <c r="C20" s="3" t="n">
        <v>1</v>
      </c>
      <c r="D20" s="3" t="n">
        <v>1</v>
      </c>
      <c r="E20" s="3" t="inlineStr">
        <is>
          <t>Keep</t>
        </is>
      </c>
      <c r="F20" s="3" t="inlineStr"/>
    </row>
    <row r="21" ht="30" customHeight="1">
      <c r="A21" s="3" t="inlineStr">
        <is>
          <t>MCSESM083F23F1</t>
        </is>
      </c>
      <c r="B21" s="3" t="inlineStr">
        <is>
          <t>Managed switch, 8 copper ports</t>
        </is>
      </c>
      <c r="C21" s="3" t="n">
        <v>2</v>
      </c>
      <c r="D21" s="3" t="n">
        <v>2</v>
      </c>
      <c r="E21" s="15" t="inlineStr">
        <is>
          <t>Clarify</t>
        </is>
      </c>
      <c r="F21" s="3" t="inlineStr">
        <is>
          <t>No fibre ports. Remote locations need fibre (Other Items, item 2).</t>
        </is>
      </c>
    </row>
    <row r="22" ht="30" customHeight="1">
      <c r="A22" s="3" t="inlineStr">
        <is>
          <t>NTSNEC1200K</t>
        </is>
      </c>
      <c r="B22" s="3" t="inlineStr">
        <is>
          <t>Edge I/O network interface</t>
        </is>
      </c>
      <c r="C22" s="3" t="n">
        <v>7</v>
      </c>
      <c r="D22" s="3" t="n">
        <v>5</v>
      </c>
      <c r="E22" s="3" t="inlineStr">
        <is>
          <t>Reduce by 2</t>
        </is>
      </c>
      <c r="F22" s="3" t="inlineStr">
        <is>
          <t>4 islands (President, PM, yard, generators) + 1 spare.</t>
        </is>
      </c>
    </row>
    <row r="23" ht="30" customHeight="1">
      <c r="A23" s="3" t="inlineStr">
        <is>
          <t>NTSPFB1002HK</t>
        </is>
      </c>
      <c r="B23" s="3" t="inlineStr">
        <is>
          <t>Edge I/O power supply module</t>
        </is>
      </c>
      <c r="C23" s="3" t="n">
        <v>7</v>
      </c>
      <c r="D23" s="3" t="n">
        <v>5</v>
      </c>
      <c r="E23" s="3" t="inlineStr">
        <is>
          <t>Reduce by 2</t>
        </is>
      </c>
      <c r="F23" s="3" t="inlineStr">
        <is>
          <t>As above.</t>
        </is>
      </c>
    </row>
    <row r="24" ht="30" customHeight="1">
      <c r="A24" s="3" t="inlineStr">
        <is>
          <t>NTSXTB02030H</t>
        </is>
      </c>
      <c r="B24" s="3" t="inlineStr">
        <is>
          <t>Terminal block for the power supply module</t>
        </is>
      </c>
      <c r="C24" s="3" t="n">
        <v>12</v>
      </c>
      <c r="D24" s="3" t="n">
        <v>8</v>
      </c>
      <c r="E24" s="3" t="inlineStr">
        <is>
          <t>Reduce by 4</t>
        </is>
      </c>
      <c r="F24" s="3" t="inlineStr">
        <is>
          <t>2 per island.</t>
        </is>
      </c>
    </row>
    <row r="25" ht="30" customHeight="1">
      <c r="A25" s="3" t="inlineStr">
        <is>
          <t>NTSDDI1602XK</t>
        </is>
      </c>
      <c r="B25" s="3" t="inlineStr">
        <is>
          <t>Edge I/O NTS digital input, 16 channels, 24 V DC</t>
        </is>
      </c>
      <c r="C25" s="3" t="n">
        <v>19</v>
      </c>
      <c r="D25" s="3" t="n">
        <v>11</v>
      </c>
      <c r="E25" s="3" t="inlineStr">
        <is>
          <t>Reduce by 8</t>
        </is>
      </c>
      <c r="F25" s="3" t="inlineStr">
        <is>
          <t>President 3, PM 3, yard 2, generators 2, + 1 spare.</t>
        </is>
      </c>
    </row>
    <row r="26" ht="30" customHeight="1">
      <c r="A26" s="3" t="inlineStr">
        <is>
          <t>NTSXTB18001XH</t>
        </is>
      </c>
      <c r="B26" s="3" t="inlineStr">
        <is>
          <t>Terminal block for NTSDDI1602XK</t>
        </is>
      </c>
      <c r="C26" s="3" t="n">
        <v>18</v>
      </c>
      <c r="D26" s="3" t="n">
        <v>10</v>
      </c>
      <c r="E26" s="3" t="inlineStr">
        <is>
          <t>Reduce by 8</t>
        </is>
      </c>
      <c r="F26" s="3" t="inlineStr">
        <is>
          <t>One per input module in use.</t>
        </is>
      </c>
    </row>
    <row r="27" ht="30" customHeight="1">
      <c r="A27" s="3" t="inlineStr">
        <is>
          <t>NTSDDO1602K</t>
        </is>
      </c>
      <c r="B27" s="3" t="inlineStr">
        <is>
          <t>Edge I/O NTS digital output, 16 channels, 24 V DC, 0.5 A</t>
        </is>
      </c>
      <c r="C27" s="3" t="n">
        <v>7</v>
      </c>
      <c r="D27" s="3" t="n">
        <v>3</v>
      </c>
      <c r="E27" s="3" t="inlineStr">
        <is>
          <t>Reduce by 4</t>
        </is>
      </c>
      <c r="F27" s="3" t="inlineStr">
        <is>
          <t>President 1, PM 1 (8 commands each), + 1 spare.</t>
        </is>
      </c>
    </row>
    <row r="28" ht="30" customHeight="1">
      <c r="A28" s="3" t="inlineStr">
        <is>
          <t>NTSXTB18001H</t>
        </is>
      </c>
      <c r="B28" s="3" t="inlineStr">
        <is>
          <t>Terminal block for NTSDDO1602K</t>
        </is>
      </c>
      <c r="C28" s="3" t="n">
        <v>6</v>
      </c>
      <c r="D28" s="3" t="n">
        <v>2</v>
      </c>
      <c r="E28" s="3" t="inlineStr">
        <is>
          <t>Reduce by 4</t>
        </is>
      </c>
      <c r="F28" s="3" t="inlineStr">
        <is>
          <t>One per output module in use.</t>
        </is>
      </c>
    </row>
    <row r="29" ht="30" customHeight="1">
      <c r="A29" s="3" t="inlineStr">
        <is>
          <t>NTSFMB0120K</t>
        </is>
      </c>
      <c r="B29" s="3" t="inlineStr">
        <is>
          <t>Edge I/O serial master, Modbus RTU</t>
        </is>
      </c>
      <c r="C29" s="3" t="n">
        <v>6</v>
      </c>
      <c r="D29" s="3" t="n">
        <v>2</v>
      </c>
      <c r="E29" s="3" t="inlineStr">
        <is>
          <t>Reduce by 4</t>
        </is>
      </c>
      <c r="F29" s="3" t="inlineStr">
        <is>
          <t>ST260E relay at each office station. Add 1 at the generators only if their controllers are RS485.</t>
        </is>
      </c>
    </row>
    <row r="30" ht="30" customHeight="1">
      <c r="A30" s="3" t="inlineStr">
        <is>
          <t>NTSXTB12001H</t>
        </is>
      </c>
      <c r="B30" s="3" t="inlineStr">
        <is>
          <t>Terminal block for NTSFMB0120K</t>
        </is>
      </c>
      <c r="C30" s="3" t="n">
        <v>6</v>
      </c>
      <c r="D30" s="3" t="n">
        <v>2</v>
      </c>
      <c r="E30" s="3" t="inlineStr">
        <is>
          <t>Reduce by 4</t>
        </is>
      </c>
      <c r="F30" s="3" t="inlineStr"/>
    </row>
    <row r="31" ht="30" customHeight="1">
      <c r="A31" s="3" t="inlineStr">
        <is>
          <t>To select</t>
        </is>
      </c>
      <c r="B31" s="3" t="inlineStr">
        <is>
          <t>Edge I/O NTS analogue input, 4 x 4-20 mA, with terminal block</t>
        </is>
      </c>
      <c r="C31" s="3" t="n">
        <v>0</v>
      </c>
      <c r="D31" s="3" t="n">
        <v>2</v>
      </c>
      <c r="E31" s="15" t="inlineStr">
        <is>
          <t>Add 2</t>
        </is>
      </c>
      <c r="F31" s="3" t="inlineStr">
        <is>
          <t>Generator fuel levels DG1 and DG2; 1 + 1 spare.</t>
        </is>
      </c>
    </row>
    <row r="32" ht="30" customHeight="1">
      <c r="A32" s="3" t="inlineStr">
        <is>
          <t>To select</t>
        </is>
      </c>
      <c r="B32" s="3" t="inlineStr">
        <is>
          <t>Interposing relay, 24 V DC coil, contact rated for the 110 V DC control circuit, with base</t>
        </is>
      </c>
      <c r="C32" s="3" t="n">
        <v>0</v>
      </c>
      <c r="D32" s="3" t="n">
        <v>34</v>
      </c>
      <c r="E32" s="15" t="inlineStr">
        <is>
          <t>Add 34</t>
        </is>
      </c>
      <c r="F32" s="3" t="inlineStr">
        <is>
          <t>30 command relays (AH1-AH7 open/close, RMU and LV incomer commands at both stations) + beacon and watchdog + 2 spare.</t>
        </is>
      </c>
    </row>
    <row r="33" ht="30" customHeight="1">
      <c r="A33" s="3" t="inlineStr">
        <is>
          <t>To select</t>
        </is>
      </c>
      <c r="B33" s="3" t="inlineStr">
        <is>
          <t>24 V DC field supply for contact wetting, I/O and the X80/NTS power supplies</t>
        </is>
      </c>
      <c r="C33" s="3" t="n">
        <v>0</v>
      </c>
      <c r="D33" s="3" t="n">
        <v>5</v>
      </c>
      <c r="E33" s="15" t="inlineStr">
        <is>
          <t>Add 5</t>
        </is>
      </c>
      <c r="F33" s="3" t="inlineStr">
        <is>
          <t>One per location; supplied from the 110 V DC station battery where available.</t>
        </is>
      </c>
    </row>
    <row r="34" ht="30" customHeight="1">
      <c r="A34" s="3" t="inlineStr">
        <is>
          <t>PVSCL60E</t>
        </is>
      </c>
      <c r="B34" s="3" t="inlineStr">
        <is>
          <t>Schneider three-phase string inverter (not priced)</t>
        </is>
      </c>
      <c r="C34" s="3" t="n">
        <v>4</v>
      </c>
      <c r="D34" s="3" t="n">
        <v>0</v>
      </c>
      <c r="E34" s="15" t="inlineStr">
        <is>
          <t>Remove</t>
        </is>
      </c>
      <c r="F34" s="3" t="inlineStr">
        <is>
          <t>The plant has 4 Sungrow SG350HX inverters, read through the PLC box over Modbus TCP.</t>
        </is>
      </c>
    </row>
    <row r="35" ht="30" customHeight="1">
      <c r="A35" s="3" t="inlineStr">
        <is>
          <t>PAS600 + CL110 + TH110</t>
        </is>
      </c>
      <c r="B35" s="3" t="inlineStr">
        <is>
          <t>Panel servers with humidity and temperature sensors</t>
        </is>
      </c>
      <c r="C35" s="3" t="n">
        <v>7</v>
      </c>
      <c r="D35" s="3" t="n">
        <v>0</v>
      </c>
      <c r="E35" s="15" t="inlineStr">
        <is>
          <t>Move to option</t>
        </is>
      </c>
      <c r="F35" s="3" t="inlineStr">
        <is>
          <t>7 panel servers, 7 humidity and 9 temperature sensors are not in the I/O list. Quote separately as an option for the client to decide.</t>
        </is>
      </c>
    </row>
    <row r="36" ht="30" customHeight="1">
      <c r="A36" s="3" t="inlineStr">
        <is>
          <t>REL50458</t>
        </is>
      </c>
      <c r="B36" s="3" t="inlineStr">
        <is>
          <t>Easergy P5M30 protection relay (not priced)</t>
        </is>
      </c>
      <c r="C36" s="3" t="n">
        <v>8</v>
      </c>
      <c r="D36" s="3" t="n">
        <v>0</v>
      </c>
      <c r="E36" s="15" t="inlineStr">
        <is>
          <t>Clarify</t>
        </is>
      </c>
      <c r="F36" s="3" t="inlineStr">
        <is>
          <t>The 11 kV relays may come with the switchgear. If Schneider supplies them, the P5M30 appears to be the motor variant; feeders normally use P5F30.</t>
        </is>
      </c>
    </row>
    <row r="37" ht="30" customHeight="1">
      <c r="A37" s="3" t="inlineStr">
        <is>
          <t>METSEPM5320</t>
        </is>
      </c>
      <c r="B37" s="3" t="inlineStr">
        <is>
          <t>PM5320 power meter (not priced)</t>
        </is>
      </c>
      <c r="C37" s="3" t="n">
        <v>5</v>
      </c>
      <c r="D37" s="3" t="n">
        <v>0</v>
      </c>
      <c r="E37" s="15" t="inlineStr">
        <is>
          <t>Clarify</t>
        </is>
      </c>
      <c r="F37" s="3" t="inlineStr">
        <is>
          <t>The design has 3 x PM5560 (President LVDB, PM LVDB, auxiliary board). State where 5 meters would go.</t>
        </is>
      </c>
    </row>
    <row r="38" ht="30" customHeight="1">
      <c r="A38" s="3" t="inlineStr">
        <is>
          <t>Lot</t>
        </is>
      </c>
      <c r="B38" s="3" t="inlineStr">
        <is>
          <t>System design and commissioning</t>
        </is>
      </c>
      <c r="C38" s="3" t="n">
        <v>1</v>
      </c>
      <c r="D38" s="3" t="n">
        <v>1</v>
      </c>
      <c r="E38" s="3" t="inlineStr">
        <is>
          <t>Requote</t>
        </is>
      </c>
      <c r="F38" s="3" t="inlineStr">
        <is>
          <t>To the corrected scope.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6" customWidth="1" min="1" max="1"/>
    <col width="26" customWidth="1" min="2" max="2"/>
    <col width="120" customWidth="1" min="3" max="3"/>
  </cols>
  <sheetData>
    <row r="1">
      <c r="A1" s="1" t="inlineStr">
        <is>
          <t>Other items to quote or clarify</t>
        </is>
      </c>
    </row>
    <row r="2">
      <c r="A2" s="4" t="inlineStr">
        <is>
          <t>Requirements from the SCADA Design Report Rev 1 that the offer does not cover.</t>
        </is>
      </c>
    </row>
    <row r="4">
      <c r="A4" s="2" t="inlineStr">
        <is>
          <t>No.</t>
        </is>
      </c>
      <c r="B4" s="2" t="inlineStr">
        <is>
          <t>Item</t>
        </is>
      </c>
      <c r="C4" s="2" t="inlineStr">
        <is>
          <t>Requirement</t>
        </is>
      </c>
    </row>
    <row r="5" ht="45" customHeight="1">
      <c r="A5" s="3" t="n">
        <v>1</v>
      </c>
      <c r="B5" s="3" t="inlineStr">
        <is>
          <t>Controller redundancy</t>
        </is>
      </c>
      <c r="C5" s="3" t="inlineStr">
        <is>
          <t>The design requires a hot standby controller pair (design report section 4). Quote M580 Hot Standby (two BMEH58 processors on hot standby racks, as described in the offer) with all I/O in the switchroom drop and the Edge I/O islands. State the switchover time. Keep the simplex CPU as a price option.</t>
        </is>
      </c>
    </row>
    <row r="6" ht="45" customHeight="1">
      <c r="A6" s="3" t="n">
        <v>2</v>
      </c>
      <c r="B6" s="3" t="inlineStr">
        <is>
          <t>Fibre network</t>
        </is>
      </c>
      <c r="C6" s="3" t="inlineStr">
        <is>
          <t>The office stations, BESS yard and generator area are beyond the 100 m copper limit. Quote managed switches with SFP fibre ports in a ring, or state how the PLC and Edge I/O connect to the fibre ring of the design.</t>
        </is>
      </c>
    </row>
    <row r="7" ht="45" customHeight="1">
      <c r="A7" s="3" t="n">
        <v>3</v>
      </c>
      <c r="B7" s="3" t="inlineStr">
        <is>
          <t>Cybersecurity</t>
        </is>
      </c>
      <c r="C7" s="3" t="inlineStr">
        <is>
          <t>Firewall with VPN for remote support (off by default), and time synchronisation (GPS/NTP). State the M580 and SCADA security settings used.</t>
        </is>
      </c>
    </row>
    <row r="8" ht="45" customHeight="1">
      <c r="A8" s="3" t="n">
        <v>4</v>
      </c>
      <c r="B8" s="3" t="inlineStr">
        <is>
          <t>SCADA</t>
        </is>
      </c>
      <c r="C8" s="3" t="inlineStr">
        <is>
          <t>State whether the SCADA is redundant, where the historian runs and its retention, and confirm Operator and Admin roles, three alarm levels, the event log with user names, and report export.</t>
        </is>
      </c>
    </row>
    <row r="9" ht="45" customHeight="1">
      <c r="A9" s="3" t="n">
        <v>5</v>
      </c>
      <c r="B9" s="3" t="inlineStr">
        <is>
          <t>Communication interfaces</t>
        </is>
      </c>
      <c r="C9" s="3" t="inlineStr">
        <is>
          <t>Confirm each interface and its points per sheet Comms Point List of the I/O list: 11 kV relays (IEC 61850 or Modbus TCP), EMS (Modbus TCP), PLC box (Modbus TCP), ST260E (Modbus RTU), power meters, weather logger, UPS, network devices (SNMP).</t>
        </is>
      </c>
    </row>
    <row r="10" ht="45" customHeight="1">
      <c r="A10" s="3" t="n">
        <v>6</v>
      </c>
      <c r="B10" s="3" t="inlineStr">
        <is>
          <t>Control authority</t>
        </is>
      </c>
      <c r="C10" s="3" t="inlineStr">
        <is>
          <t>The embedded EMS dispatches PV, battery and generators. The PLC monitors, checks interlocks on remote commands and passes Admin settings to the EMS; it does not run plant dispatch sequences. Correct the offer text accordingly.</t>
        </is>
      </c>
    </row>
    <row r="11" ht="45" customHeight="1">
      <c r="A11" s="3" t="n">
        <v>7</v>
      </c>
      <c r="B11" s="3" t="inlineStr">
        <is>
          <t>Emergency stop</t>
        </is>
      </c>
      <c r="C11" s="3" t="inlineStr">
        <is>
          <t>Hardwired only; the PLC and SCADA only display it. No software emergency stop.</t>
        </is>
      </c>
    </row>
    <row r="12" ht="45" customHeight="1">
      <c r="A12" s="3" t="n">
        <v>8</v>
      </c>
      <c r="B12" s="3" t="inlineStr">
        <is>
          <t>Enclosures and wiring</t>
        </is>
      </c>
      <c r="C12" s="3" t="inlineStr">
        <is>
          <t>State who supplies the Edge I/O enclosures (outdoor IP55 at the yard and generator area), marshalling, interposing relay panels and field wiring.</t>
        </is>
      </c>
    </row>
    <row r="13" ht="45" customHeight="1">
      <c r="A13" s="3" t="n">
        <v>9</v>
      </c>
      <c r="B13" s="3" t="inlineStr">
        <is>
          <t>Commercial terms</t>
        </is>
      </c>
      <c r="C13" s="3" t="inlineStr">
        <is>
          <t>State currency, validity, delivery time, payment terms, warranty and exclusions. The General Conditions section of the offer is empty.</t>
        </is>
      </c>
    </row>
    <row r="14" ht="45" customHeight="1">
      <c r="A14" s="3" t="n">
        <v>10</v>
      </c>
      <c r="B14" s="3" t="inlineStr">
        <is>
          <t>Offer text</t>
        </is>
      </c>
      <c r="C14" s="3" t="inlineStr">
        <is>
          <t>Remove text from another project (treated-water process, IICATS, LIMS, Quantum RIO), complete the revision history and table of contents, and correct the second office island to the President station.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2026-10-16T10:39:49Z</dcterms:created>
  <dcterms:modified xmlns:dcterms="http://purl.org/dc/terms/" xmlns:xsi="http://www.w3.org/2001/XMLSchema-instance" xsi:type="dcterms:W3CDTF">2026-10-16T10:39:49Z</dcterms:modified>
</cp:coreProperties>
</file>