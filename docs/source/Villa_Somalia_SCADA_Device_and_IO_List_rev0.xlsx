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isog\Downloads\"/>
    </mc:Choice>
  </mc:AlternateContent>
  <xr:revisionPtr revIDLastSave="0" documentId="13_ncr:1_{FE7B5EA2-6B49-4880-B8FA-C55AEF63AD40}" xr6:coauthVersionLast="47" xr6:coauthVersionMax="47" xr10:uidLastSave="{00000000-0000-0000-0000-000000000000}"/>
  <bookViews>
    <workbookView xWindow="-98" yWindow="-98" windowWidth="19396" windowHeight="10996" tabRatio="500" activeTab="1" xr2:uid="{00000000-000D-0000-FFFF-FFFF00000000}"/>
  </bookViews>
  <sheets>
    <sheet name="Read Me" sheetId="1" r:id="rId1"/>
    <sheet name="Device List" sheetId="2" r:id="rId2"/>
    <sheet name="Protocol Summary" sheetId="3" r:id="rId3"/>
    <sheet name="IO List" sheetId="4" r:id="rId4"/>
    <sheet name="IO Summary" sheetId="5" r:id="rId5"/>
    <sheet name="IO Rows" sheetId="6" r:id="rId6"/>
    <sheet name="Comms Points" sheetId="7" r:id="rId7"/>
    <sheet name="Datasheets" sheetId="8" r:id="rId8"/>
  </sheets>
  <definedNames>
    <definedName name="_xlnm._FilterDatabase" localSheetId="6" hidden="1">'Comms Points'!$A$1:$K$146</definedName>
    <definedName name="_xlnm._FilterDatabase" localSheetId="7" hidden="1">Datasheets!$A$1:$I$43</definedName>
    <definedName name="_xlnm._FilterDatabase" localSheetId="1" hidden="1">'Device List'!$A$1:$N$54</definedName>
    <definedName name="_xlnm._FilterDatabase" localSheetId="3" hidden="1">'IO List'!$A$1:$M$225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46" i="7" l="1"/>
  <c r="I145" i="7"/>
  <c r="I144" i="7"/>
  <c r="I143" i="7"/>
  <c r="I142" i="7"/>
  <c r="I141" i="7"/>
  <c r="I140" i="7"/>
  <c r="I139" i="7"/>
  <c r="I138" i="7"/>
  <c r="I137" i="7"/>
  <c r="I136" i="7"/>
  <c r="I135" i="7"/>
  <c r="I134" i="7"/>
  <c r="I133" i="7"/>
  <c r="I132" i="7"/>
  <c r="I131" i="7"/>
  <c r="I130" i="7"/>
  <c r="I129" i="7"/>
  <c r="I128" i="7"/>
  <c r="I127" i="7"/>
  <c r="I126" i="7"/>
  <c r="I125" i="7"/>
  <c r="I124" i="7"/>
  <c r="I123" i="7"/>
  <c r="I122" i="7"/>
  <c r="I121" i="7"/>
  <c r="I120" i="7"/>
  <c r="I119" i="7"/>
  <c r="I118" i="7"/>
  <c r="I117" i="7"/>
  <c r="I116" i="7"/>
  <c r="I115" i="7"/>
  <c r="I114" i="7"/>
  <c r="I113" i="7"/>
  <c r="I112" i="7"/>
  <c r="I111" i="7"/>
  <c r="I110" i="7"/>
  <c r="I109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50" i="7" s="1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I3" i="7"/>
  <c r="I2" i="7"/>
  <c r="H7" i="6"/>
  <c r="G7" i="6"/>
  <c r="H6" i="6"/>
  <c r="G6" i="6"/>
  <c r="H5" i="6"/>
  <c r="G5" i="6"/>
  <c r="H4" i="6"/>
  <c r="G4" i="6"/>
  <c r="H3" i="6"/>
  <c r="G3" i="6"/>
  <c r="H2" i="6"/>
  <c r="H8" i="6" s="1"/>
  <c r="G2" i="6"/>
  <c r="G8" i="6" s="1"/>
  <c r="C39" i="5"/>
  <c r="C38" i="5"/>
  <c r="C37" i="5"/>
  <c r="C40" i="5" s="1"/>
  <c r="D32" i="5"/>
  <c r="C32" i="5"/>
  <c r="D31" i="5"/>
  <c r="C31" i="5"/>
  <c r="D30" i="5"/>
  <c r="C30" i="5"/>
  <c r="D29" i="5"/>
  <c r="C29" i="5"/>
  <c r="C33" i="5" s="1"/>
  <c r="F25" i="5"/>
  <c r="G25" i="5" s="1"/>
  <c r="H25" i="5" s="1"/>
  <c r="F24" i="5"/>
  <c r="G24" i="5" s="1"/>
  <c r="H24" i="5" s="1"/>
  <c r="F23" i="5"/>
  <c r="G23" i="5" s="1"/>
  <c r="F22" i="5"/>
  <c r="G22" i="5" s="1"/>
  <c r="H22" i="5" s="1"/>
  <c r="F21" i="5"/>
  <c r="G21" i="5" s="1"/>
  <c r="F20" i="5"/>
  <c r="G20" i="5" s="1"/>
  <c r="H20" i="5" s="1"/>
  <c r="F19" i="5"/>
  <c r="G19" i="5" s="1"/>
  <c r="H19" i="5" s="1"/>
  <c r="F18" i="5"/>
  <c r="G18" i="5" s="1"/>
  <c r="H18" i="5" s="1"/>
  <c r="F17" i="5"/>
  <c r="G17" i="5" s="1"/>
  <c r="F16" i="5"/>
  <c r="G16" i="5" s="1"/>
  <c r="H16" i="5" s="1"/>
  <c r="F15" i="5"/>
  <c r="G15" i="5" s="1"/>
  <c r="H15" i="5" s="1"/>
  <c r="F14" i="5"/>
  <c r="G14" i="5" s="1"/>
  <c r="H14" i="5" s="1"/>
  <c r="F13" i="5"/>
  <c r="G13" i="5" s="1"/>
  <c r="F12" i="5"/>
  <c r="F11" i="5"/>
  <c r="G11" i="5" s="1"/>
  <c r="H11" i="5" s="1"/>
  <c r="F10" i="5"/>
  <c r="G10" i="5" s="1"/>
  <c r="F9" i="5"/>
  <c r="F8" i="5"/>
  <c r="G8" i="5" s="1"/>
  <c r="H8" i="5" s="1"/>
  <c r="F7" i="5"/>
  <c r="F6" i="5"/>
  <c r="G6" i="5" s="1"/>
  <c r="H6" i="5" s="1"/>
  <c r="F5" i="5"/>
  <c r="G5" i="5" s="1"/>
  <c r="H5" i="5" s="1"/>
  <c r="F4" i="5"/>
  <c r="G4" i="5" s="1"/>
  <c r="H4" i="5" s="1"/>
  <c r="F3" i="5"/>
  <c r="G2" i="5"/>
  <c r="F2" i="5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C3" i="3"/>
  <c r="D2" i="3"/>
  <c r="C2" i="3"/>
  <c r="I149" i="7" l="1"/>
  <c r="I148" i="7"/>
  <c r="D33" i="5"/>
  <c r="I7" i="6"/>
  <c r="H23" i="5"/>
  <c r="H21" i="5"/>
  <c r="I6" i="6"/>
  <c r="H17" i="5"/>
  <c r="I5" i="6"/>
  <c r="H13" i="5"/>
  <c r="I4" i="6"/>
  <c r="E32" i="5"/>
  <c r="F32" i="5" s="1"/>
  <c r="G32" i="5" s="1"/>
  <c r="G12" i="5"/>
  <c r="H12" i="5" s="1"/>
  <c r="H10" i="5"/>
  <c r="I3" i="6"/>
  <c r="G9" i="5"/>
  <c r="H9" i="5" s="1"/>
  <c r="E31" i="5"/>
  <c r="F31" i="5" s="1"/>
  <c r="G31" i="5" s="1"/>
  <c r="G7" i="5"/>
  <c r="H7" i="5" s="1"/>
  <c r="E30" i="5"/>
  <c r="F30" i="5" s="1"/>
  <c r="G30" i="5" s="1"/>
  <c r="G3" i="5"/>
  <c r="H3" i="5" s="1"/>
  <c r="E29" i="5"/>
  <c r="F29" i="5" s="1"/>
  <c r="I2" i="6"/>
  <c r="I8" i="6" s="1"/>
  <c r="H2" i="5"/>
  <c r="E33" i="5" l="1"/>
  <c r="G29" i="5"/>
  <c r="F33" i="5"/>
  <c r="G33" i="5" s="1"/>
</calcChain>
</file>

<file path=xl/sharedStrings.xml><?xml version="1.0" encoding="utf-8"?>
<sst xmlns="http://schemas.openxmlformats.org/spreadsheetml/2006/main" count="4498" uniqueCount="1129">
  <si>
    <t>Villa Somalia Hybrid Plant: SCADA Device and I/O List</t>
  </si>
  <si>
    <t>Project</t>
  </si>
  <si>
    <t>Solarization of Villa Somalia, Mogadishu. 1,516 kWp PV, 3,340 kWh BESS, 2 diesel generators, 11 kV switchboard, 2 office transformer stations.</t>
  </si>
  <si>
    <t>Status</t>
  </si>
  <si>
    <t>Draft for internal review, 12 Oct 2026. Not yet for client submission.</t>
  </si>
  <si>
    <t>Controller</t>
  </si>
  <si>
    <t>Siemens SICAM A8000 CP-8050 as plant controller and gateway. The embedded EMS keeps dispatch of PV, battery and generators.</t>
  </si>
  <si>
    <t>SCADA</t>
  </si>
  <si>
    <t>Siemens SICAM SCC on two servers (active and hot standby), linked to the CP-8050 by IEC 60870-5-104.</t>
  </si>
  <si>
    <t>Sheets</t>
  </si>
  <si>
    <t>Device List</t>
  </si>
  <si>
    <t>Every device in the design: model, product or ordering number, quantity, location, interface and protocol to the CP-8050.</t>
  </si>
  <si>
    <t>Protocol Summary</t>
  </si>
  <si>
    <t>Device quantities per protocol, calculated from the Device List.</t>
  </si>
  <si>
    <t>IO List</t>
  </si>
  <si>
    <t>Every hardwired signal: tag, description, type, I/O row, module and channel, alarm level and who may operate it.</t>
  </si>
  <si>
    <t>Datasheets</t>
  </si>
  <si>
    <t>Register of every datasheet and software document for Attachment C, with where to download it and a Collected column.</t>
  </si>
  <si>
    <t>IO Rows</t>
  </si>
  <si>
    <t>Where each of the six I/O rows sits, its remote interface, link to the CP-8050 and the equipment wired to it.</t>
  </si>
  <si>
    <t>IO Summary</t>
  </si>
  <si>
    <t>Channels used and spare per I/O module, calculated from the IO List.</t>
  </si>
  <si>
    <t>Comms Points</t>
  </si>
  <si>
    <t>Typical signals read or written over communication links, per device type. Replace with each vendor's point table.</t>
  </si>
  <si>
    <t>Number status key</t>
  </si>
  <si>
    <t>Checked</t>
  </si>
  <si>
    <t>Product number found on a supplier listing or a Siemens configuration document.</t>
  </si>
  <si>
    <t>From memory - confirm</t>
  </si>
  <si>
    <t>Ordering code from knowledge of the maker's catalogue; not checked online. Confirm with the distributor.</t>
  </si>
  <si>
    <t>To confirm with supplier</t>
  </si>
  <si>
    <t>Product exists but its number was not found. Take it from the supplier's quotation.</t>
  </si>
  <si>
    <t>Existing (drawings)</t>
  </si>
  <si>
    <t>Device already specified in drawing set VILLA_SOMALIA_05_10_2026.</t>
  </si>
  <si>
    <t>TBC</t>
  </si>
  <si>
    <t>Make or model unknown. Must come from the PV designer or the equipment supplier. Cells marked TBC are shaded yellow.</t>
  </si>
  <si>
    <t>Assumptions</t>
  </si>
  <si>
    <t>1</t>
  </si>
  <si>
    <t>Auxiliary control voltage is 110 V DC. This selects DI-8112, CI-8532, CI-8533 and PS-8642. For 24 V or 220 V DC see the variant note on the Device List.</t>
  </si>
  <si>
    <t>2</t>
  </si>
  <si>
    <t>11 kV breakers, RMU switches and LVDB incomers are motorised and accept remote open and close.</t>
  </si>
  <si>
    <t>3</t>
  </si>
  <si>
    <t>The embedded EMS offers Modbus TCP. The PV inverter data reaches the CP-8050 from the power line communication box, as shown on the existing communication sheet.</t>
  </si>
  <si>
    <t>4</t>
  </si>
  <si>
    <t>Signal counts per device are typical values. They must be checked against the switchgear, RMU, transformer and fire panel terminal schedules.</t>
  </si>
  <si>
    <t>5</t>
  </si>
  <si>
    <t>Measurements (current, voltage, power, energy) come over communication from relays, meters and the EMS, not hardwired.</t>
  </si>
  <si>
    <t>6</t>
  </si>
  <si>
    <t>Spare capacity target is about 20% per I/O row.</t>
  </si>
  <si>
    <t>7</t>
  </si>
  <si>
    <t>Field signals are collected by the nearest I/O row: switchroom (rows 1, 2), office stations (rows 3, 4), BESS and inverter transformer yard (row 5), generator area (row 6). Remote rows 3 to 6 link to the CP-8050 by fibre. Actual cable distances are not known yet.</t>
  </si>
  <si>
    <t>ID</t>
  </si>
  <si>
    <t>Group</t>
  </si>
  <si>
    <t>Device</t>
  </si>
  <si>
    <t>Manufacturer</t>
  </si>
  <si>
    <t>Model</t>
  </si>
  <si>
    <t>Product / ordering no.</t>
  </si>
  <si>
    <t>Number status</t>
  </si>
  <si>
    <t>Qty</t>
  </si>
  <si>
    <t>Location</t>
  </si>
  <si>
    <t>Physical interface</t>
  </si>
  <si>
    <t>Protocol to CP-8050</t>
  </si>
  <si>
    <t>Primary protocol</t>
  </si>
  <si>
    <t>Hardwired to I/O row</t>
  </si>
  <si>
    <t>Notes</t>
  </si>
  <si>
    <t>A. Plant equipment (existing or by others)</t>
  </si>
  <si>
    <t>D01</t>
  </si>
  <si>
    <t>Plant</t>
  </si>
  <si>
    <t>PV string inverters NB01 to NB04</t>
  </si>
  <si>
    <t>Sungrow</t>
  </si>
  <si>
    <t>SG350HX</t>
  </si>
  <si>
    <t>-</t>
  </si>
  <si>
    <t>PV field</t>
  </si>
  <si>
    <t>AC power cable</t>
  </si>
  <si>
    <t>Power line communication to the PLC box</t>
  </si>
  <si>
    <t>Power line communication</t>
  </si>
  <si>
    <t>Not connected to the CP-8050 directly.</t>
  </si>
  <si>
    <t>D02</t>
  </si>
  <si>
    <t>Power line communication box (PLC box)</t>
  </si>
  <si>
    <t>Inverter MV station</t>
  </si>
  <si>
    <t>Ethernet RJ45</t>
  </si>
  <si>
    <t>Modbus TCP (to confirm)</t>
  </si>
  <si>
    <t>Modbus TCP</t>
  </si>
  <si>
    <t>Converts inverter data to Ethernet. Get model and point table from the PV designer.</t>
  </si>
  <si>
    <t>D03</t>
  </si>
  <si>
    <t>Embedded energy management system (EMS)</t>
  </si>
  <si>
    <t>BESS / EMS area</t>
  </si>
  <si>
    <t>Dispatches PV, battery and generators. Only the CP-8050 writes settings to it.</t>
  </si>
  <si>
    <t>D04</t>
  </si>
  <si>
    <t>Battery energy storage system, 3,340 kWh</t>
  </si>
  <si>
    <t>ST3340UX</t>
  </si>
  <si>
    <t>BESS area</t>
  </si>
  <si>
    <t>Ethernet (via EMS)</t>
  </si>
  <si>
    <t>Through the EMS, Modbus TCP</t>
  </si>
  <si>
    <t>Confirm whether battery data is read through the EMS or directly.</t>
  </si>
  <si>
    <t>D05</t>
  </si>
  <si>
    <t>Generator controllers DG1, DG2</t>
  </si>
  <si>
    <t>Generator area</t>
  </si>
  <si>
    <t>Ethernet or RS485</t>
  </si>
  <si>
    <t>Modbus TCP, or Modbus RTU through a gateway</t>
  </si>
  <si>
    <t>Row 6</t>
  </si>
  <si>
    <t>Breaker status, alarm, E-stop, running and fuel level also hardwired to row 6.</t>
  </si>
  <si>
    <t>D06</t>
  </si>
  <si>
    <t>11 kV protection relays, panels AH1 to AH7</t>
  </si>
  <si>
    <t>TBC (switchgear supplier)</t>
  </si>
  <si>
    <t>11 kV switchroom</t>
  </si>
  <si>
    <t>Ethernet, 2 ports preferred</t>
  </si>
  <si>
    <t>IEC 61850 MMS, or Modbus TCP</t>
  </si>
  <si>
    <t>IEC 61850</t>
  </si>
  <si>
    <t>Row 1</t>
  </si>
  <si>
    <t>Dual-connect to both core switches if the relay has two ports.</t>
  </si>
  <si>
    <t>D07</t>
  </si>
  <si>
    <t>Neutral earthing resistor panel AH8</t>
  </si>
  <si>
    <t>Dry contacts</t>
  </si>
  <si>
    <t>Hardwired</t>
  </si>
  <si>
    <t>D08</t>
  </si>
  <si>
    <t>RMU protection relays</t>
  </si>
  <si>
    <t>Per RMU supplier</t>
  </si>
  <si>
    <t>ST260E</t>
  </si>
  <si>
    <t>President and PM stations</t>
  </si>
  <si>
    <t>RS485</t>
  </si>
  <si>
    <t>Modbus RTU, converted by MGate gateway</t>
  </si>
  <si>
    <t>Modbus RTU</t>
  </si>
  <si>
    <t>Rows 3, 4</t>
  </si>
  <si>
    <t>Confirm Modbus map with the RMU supplier.</t>
  </si>
  <si>
    <t>D09</t>
  </si>
  <si>
    <t>Transformers: inverter, DG step-up, 100 kVA auxiliary</t>
  </si>
  <si>
    <t>Yard, generator area, switchroom</t>
  </si>
  <si>
    <t>Rows 5, 6, 2</t>
  </si>
  <si>
    <t>Each wired to the nearest I/O row: inverter to row 5, DG step-up to row 6, auxiliary to row 2.</t>
  </si>
  <si>
    <t>D10</t>
  </si>
  <si>
    <t>Transformers 630 kVA, President and PM stations</t>
  </si>
  <si>
    <t>Office stations</t>
  </si>
  <si>
    <t>D11</t>
  </si>
  <si>
    <t>Low-voltage distribution boards, 10-way</t>
  </si>
  <si>
    <t>Dry contacts + meter</t>
  </si>
  <si>
    <t>Hardwired; meter on Modbus TCP</t>
  </si>
  <si>
    <t>D12</t>
  </si>
  <si>
    <t>Fire detection and suppression panel</t>
  </si>
  <si>
    <t>Row 5</t>
  </si>
  <si>
    <t>Also a direct hardwired trip to the battery, outside the SCADA.</t>
  </si>
  <si>
    <t>D13</t>
  </si>
  <si>
    <t>UPS and auxiliary DC supplies</t>
  </si>
  <si>
    <t>Ethernet or dry contacts</t>
  </si>
  <si>
    <t>Modbus TCP or SNMP, plus contacts</t>
  </si>
  <si>
    <t>Row 2</t>
  </si>
  <si>
    <t>D14</t>
  </si>
  <si>
    <t>Weather station data logger</t>
  </si>
  <si>
    <t>Meteocontrol</t>
  </si>
  <si>
    <t>blue'Log XM with Multi I/O and Fieldbus Ext</t>
  </si>
  <si>
    <t>Collects the sensors below.</t>
  </si>
  <si>
    <t>D15</t>
  </si>
  <si>
    <t>Pyranometer</t>
  </si>
  <si>
    <t>Kipp &amp; Zonen</t>
  </si>
  <si>
    <t>SMP12-A</t>
  </si>
  <si>
    <t>Weather mast</t>
  </si>
  <si>
    <t>RS485 to logger</t>
  </si>
  <si>
    <t>Through the blue'Log</t>
  </si>
  <si>
    <t>Through logger</t>
  </si>
  <si>
    <t>D16</t>
  </si>
  <si>
    <t>Wind sensor</t>
  </si>
  <si>
    <t>Gill Instruments</t>
  </si>
  <si>
    <t>WindSonic RS485</t>
  </si>
  <si>
    <t>D17</t>
  </si>
  <si>
    <t>Ambient and module temperature sensors</t>
  </si>
  <si>
    <t>Weather mast / PV array</t>
  </si>
  <si>
    <t>Analogue to logger</t>
  </si>
  <si>
    <t>B. SICAM A8000 controller and I/O</t>
  </si>
  <si>
    <t>D18</t>
  </si>
  <si>
    <t>Processor module</t>
  </si>
  <si>
    <t>Siemens</t>
  </si>
  <si>
    <t>CP-8050</t>
  </si>
  <si>
    <t>6MF2805-0AA00</t>
  </si>
  <si>
    <t>2 x RJ45</t>
  </si>
  <si>
    <t>Gateway for all protocols</t>
  </si>
  <si>
    <t>IEC 60870-5-104</t>
  </si>
  <si>
    <t>To SCADA servers A and B.</t>
  </si>
  <si>
    <t>D19</t>
  </si>
  <si>
    <t>Power supply, 100 to 240 V DC/AC, 45 W</t>
  </si>
  <si>
    <t>PS-8642</t>
  </si>
  <si>
    <t>6MF2864-2AA00</t>
  </si>
  <si>
    <t>N/A</t>
  </si>
  <si>
    <t>Two for redundancy; confirm the CP-8050 supports a second supply.</t>
  </si>
  <si>
    <t>D20</t>
  </si>
  <si>
    <t>Ethernet interface, 5 x RJ45</t>
  </si>
  <si>
    <t>CI-8520</t>
  </si>
  <si>
    <t>6MF2852-0AA00</t>
  </si>
  <si>
    <t>5 x RJ45</t>
  </si>
  <si>
    <t>Separate ports per network zone</t>
  </si>
  <si>
    <t>Not a managed switch.</t>
  </si>
  <si>
    <t>D21</t>
  </si>
  <si>
    <t>Flash card, 2 GB</t>
  </si>
  <si>
    <t>SICAM flash card</t>
  </si>
  <si>
    <t>6MF1213-1GA05-0AA0</t>
  </si>
  <si>
    <t>D22</t>
  </si>
  <si>
    <t>I/O</t>
  </si>
  <si>
    <t>Digital input, 2 x 8 inputs</t>
  </si>
  <si>
    <t>DI-8112</t>
  </si>
  <si>
    <t>6MF2811-2AA00</t>
  </si>
  <si>
    <t>Rows 1 to 6</t>
  </si>
  <si>
    <t>Terminal</t>
  </si>
  <si>
    <t>SICAM I/O link</t>
  </si>
  <si>
    <t>Rows 1-6</t>
  </si>
  <si>
    <t>Confirm DI-8112 is the 110 V DC variant. 24 V: DI-8110, 6MF2811-0AA00. 220 V: DI-8113, 6MF2811-3AA00.</t>
  </si>
  <si>
    <t>D23</t>
  </si>
  <si>
    <t>Secured command output, 12 outputs</t>
  </si>
  <si>
    <t>DO-8221</t>
  </si>
  <si>
    <t>To confirm</t>
  </si>
  <si>
    <t>Rows 1, 3, 4</t>
  </si>
  <si>
    <t>Breaker open and close with 1-out-of-n check.</t>
  </si>
  <si>
    <t>D24</t>
  </si>
  <si>
    <t>Digital output, 8 relays, 24-220 V DC / 230 V AC</t>
  </si>
  <si>
    <t>DO-8212</t>
  </si>
  <si>
    <t>6MF2821-2AA00</t>
  </si>
  <si>
    <t>Alarm beacon and controller healthy output.</t>
  </si>
  <si>
    <t>D25</t>
  </si>
  <si>
    <t>Analogue input, 4 x +/-20 mA or +/-10 V</t>
  </si>
  <si>
    <t>AI-8320</t>
  </si>
  <si>
    <t>6MF2832-0AA00</t>
  </si>
  <si>
    <t>Rows 2, 6</t>
  </si>
  <si>
    <t>Row 2: DC bus voltages. Row 6: generator fuel levels.</t>
  </si>
  <si>
    <t>D26</t>
  </si>
  <si>
    <t>I/O remote interface, electrical, 110-220 V DC</t>
  </si>
  <si>
    <t>CI-8532</t>
  </si>
  <si>
    <t>6MF2853-2AA00</t>
  </si>
  <si>
    <t>Copper</t>
  </si>
  <si>
    <t>24 V variant: CI-8530, 6MF2853-0AA00.</t>
  </si>
  <si>
    <t>D27</t>
  </si>
  <si>
    <t>I/O remote interface, optical, 110-220 V DC</t>
  </si>
  <si>
    <t>CI-8533</t>
  </si>
  <si>
    <t>Rows 3 to 6</t>
  </si>
  <si>
    <t>Fibre</t>
  </si>
  <si>
    <t>SICAM I/O link, optical</t>
  </si>
  <si>
    <t>Rows 3-6</t>
  </si>
  <si>
    <t>One per remote row: President, Prime Minister, BESS yard, generator area. Confirm fibre type and maximum length. Within about 100 m of the switchroom, CI-8532 on copper may be used instead. 24 V variant: CI-8531.</t>
  </si>
  <si>
    <t>D28</t>
  </si>
  <si>
    <t>Protocol licences: IEC 104, Modbus TCP client, IEC 61850 client</t>
  </si>
  <si>
    <t>For CP-8050</t>
  </si>
  <si>
    <t>By quotation</t>
  </si>
  <si>
    <t>C. Network, time and security</t>
  </si>
  <si>
    <t>D29</t>
  </si>
  <si>
    <t>Network</t>
  </si>
  <si>
    <t>Core switch, managed, gigabit, SFP</t>
  </si>
  <si>
    <t>Moxa</t>
  </si>
  <si>
    <t>EDS-G512E</t>
  </si>
  <si>
    <t>EDS-G512E-4GSFP</t>
  </si>
  <si>
    <t>RJ45 + SFP</t>
  </si>
  <si>
    <t>Ethernet, VLANs, ring</t>
  </si>
  <si>
    <t>Core switch A and B.</t>
  </si>
  <si>
    <t>D30</t>
  </si>
  <si>
    <t>Field and station switch, managed, SFP</t>
  </si>
  <si>
    <t>EDS-510E</t>
  </si>
  <si>
    <t>EDS-510E-3GTXSFP</t>
  </si>
  <si>
    <t>MV station, BESS, generators, 2 office stations</t>
  </si>
  <si>
    <t>Ethernet, ring</t>
  </si>
  <si>
    <t>Replaces the unmanaged switch on the existing sheet.</t>
  </si>
  <si>
    <t>D31</t>
  </si>
  <si>
    <t>Fibre transceiver, single-mode, gigabit</t>
  </si>
  <si>
    <t>SFP-1GLXLC</t>
  </si>
  <si>
    <t>All switches</t>
  </si>
  <si>
    <t>LC fibre</t>
  </si>
  <si>
    <t>7-switch ring, 2 per link.</t>
  </si>
  <si>
    <t>D32</t>
  </si>
  <si>
    <t>Serial to Ethernet gateway</t>
  </si>
  <si>
    <t>MGate MB3170</t>
  </si>
  <si>
    <t>MB3170</t>
  </si>
  <si>
    <t>RS485 + RJ45</t>
  </si>
  <si>
    <t>Modbus RTU to Modbus TCP</t>
  </si>
  <si>
    <t>Add one more if the generator controllers are RS485 only.</t>
  </si>
  <si>
    <t>D33</t>
  </si>
  <si>
    <t>Firewall with VPN</t>
  </si>
  <si>
    <t>Fortinet</t>
  </si>
  <si>
    <t>FortiGate Rugged 60F</t>
  </si>
  <si>
    <t>FGR-60F</t>
  </si>
  <si>
    <t>RJ45</t>
  </si>
  <si>
    <t>VPN, off by default</t>
  </si>
  <si>
    <t>Second unit optional.</t>
  </si>
  <si>
    <t>D34</t>
  </si>
  <si>
    <t>GPS time server with antenna</t>
  </si>
  <si>
    <t>Meinberg</t>
  </si>
  <si>
    <t>LANTIME M300</t>
  </si>
  <si>
    <t>M300/GPS</t>
  </si>
  <si>
    <t>NTP</t>
  </si>
  <si>
    <t>D35</t>
  </si>
  <si>
    <t>Armoured single-mode fibre, 12 core, with patch panels</t>
  </si>
  <si>
    <t>To suit</t>
  </si>
  <si>
    <t>Length per route</t>
  </si>
  <si>
    <t>Switchroom-President, switchroom-PM, President-PM</t>
  </si>
  <si>
    <t>LC</t>
  </si>
  <si>
    <t>Third route closes the ring. Rows 5 and 6 use spare cores in the fibre cables to field switches 2 and 3.</t>
  </si>
  <si>
    <t>D. SCADA computers, power and enclosures</t>
  </si>
  <si>
    <t>D36</t>
  </si>
  <si>
    <t>SCADA server, rack industrial PC</t>
  </si>
  <si>
    <t>SIMATIC IPC647E</t>
  </si>
  <si>
    <t>Configured to order</t>
  </si>
  <si>
    <t>Control room</t>
  </si>
  <si>
    <t>Server A active, server B hot standby.</t>
  </si>
  <si>
    <t>D37</t>
  </si>
  <si>
    <t>Operator workstation with two 24-inch monitors</t>
  </si>
  <si>
    <t>Dell</t>
  </si>
  <si>
    <t>OptiPlex 7000 series</t>
  </si>
  <si>
    <t>D38</t>
  </si>
  <si>
    <t>Engineering laptop</t>
  </si>
  <si>
    <t>Latitude 5430 Rugged</t>
  </si>
  <si>
    <t>D39</t>
  </si>
  <si>
    <t>Power meter</t>
  </si>
  <si>
    <t>Schneider Electric</t>
  </si>
  <si>
    <t>PowerLogic PM5560</t>
  </si>
  <si>
    <t>METSEPM5560</t>
  </si>
  <si>
    <t>LVDB President, LVDB PM, auxiliary board</t>
  </si>
  <si>
    <t>D40</t>
  </si>
  <si>
    <t>24 V DC power supply, 20 A, 1-phase</t>
  </si>
  <si>
    <t>SITOP PSU8200 24 V/20 A</t>
  </si>
  <si>
    <t>6EP1336-3BA10</t>
  </si>
  <si>
    <t>Switchroom, office stations, BESS yard, generator area</t>
  </si>
  <si>
    <t>Switches and gateways. Input 85-275 V AC or 88-350 V DC, so it can run from the 110 V DC station battery. Add SITOP UPS1600 if 24 V must ride through loss of input.</t>
  </si>
  <si>
    <t>D41</t>
  </si>
  <si>
    <t>UPS for the SCADA cabinet, 3000 VA</t>
  </si>
  <si>
    <t>APC</t>
  </si>
  <si>
    <t>Smart-UPS SRT 3000</t>
  </si>
  <si>
    <t>SRT3000RMXLI</t>
  </si>
  <si>
    <t>SNMP</t>
  </si>
  <si>
    <t>About 2 hours runtime with battery pack; size at design.</t>
  </si>
  <si>
    <t>D42</t>
  </si>
  <si>
    <t>SCADA cabinet, 800 x 2000 x 800 mm</t>
  </si>
  <si>
    <t>Rittal</t>
  </si>
  <si>
    <t>VX25</t>
  </si>
  <si>
    <t>8808.000</t>
  </si>
  <si>
    <t>Door contact wired to row 2.</t>
  </si>
  <si>
    <t>D43</t>
  </si>
  <si>
    <t>Outdoor I/O panel, IP55 minimum</t>
  </si>
  <si>
    <t>AX</t>
  </si>
  <si>
    <t>Size to suit</t>
  </si>
  <si>
    <t>Office stations, BESS yard, generator area</t>
  </si>
  <si>
    <t>Shaded or air-conditioned where exposed to direct sun.</t>
  </si>
  <si>
    <t>D44</t>
  </si>
  <si>
    <t>Alarm sounder and beacon</t>
  </si>
  <si>
    <t>Pfannenberg</t>
  </si>
  <si>
    <t>PATROL</t>
  </si>
  <si>
    <t>Model to suit</t>
  </si>
  <si>
    <t>E. Software</t>
  </si>
  <si>
    <t>D45</t>
  </si>
  <si>
    <t>Software</t>
  </si>
  <si>
    <t>Substation SCADA, redundant</t>
  </si>
  <si>
    <t>SICAM SCC</t>
  </si>
  <si>
    <t>SCADA servers</t>
  </si>
  <si>
    <t>Licence sized for about 700 signals; includes Operator and Admin roles.</t>
  </si>
  <si>
    <t>D46</t>
  </si>
  <si>
    <t>Controller engineering tool</t>
  </si>
  <si>
    <t>SICAM Device Manager</t>
  </si>
  <si>
    <t>D47</t>
  </si>
  <si>
    <t>Network management</t>
  </si>
  <si>
    <t>MXview One</t>
  </si>
  <si>
    <t>SCADA server</t>
  </si>
  <si>
    <t>D48</t>
  </si>
  <si>
    <t>VPN client</t>
  </si>
  <si>
    <t>FortiClient</t>
  </si>
  <si>
    <t>Remote users</t>
  </si>
  <si>
    <t>Where used</t>
  </si>
  <si>
    <t>Device lines</t>
  </si>
  <si>
    <t>Device quantity</t>
  </si>
  <si>
    <t>CP-8050 to SCADA servers A and B</t>
  </si>
  <si>
    <t>11 kV protection relays (Modbus TCP if not supported)</t>
  </si>
  <si>
    <t>PLC box, EMS, battery via EMS, generator controllers, power meters, weather logger, UPS, gateways</t>
  </si>
  <si>
    <t>RMU relays ST260E, through MGate gateways</t>
  </si>
  <si>
    <t>CP-8050 to I/O modules and remote rows (Siemens proprietary)</t>
  </si>
  <si>
    <t>Status contacts, alarms and commands wired to I/O modules</t>
  </si>
  <si>
    <t>PV inverters to the PLC box over the AC cables</t>
  </si>
  <si>
    <t>Time synchronisation from the GPS time server</t>
  </si>
  <si>
    <t>Weather sensors to the blue'Log</t>
  </si>
  <si>
    <t>Supervision protocols: SNMP v3 and syslog from switches, firewall and time server to the SCADA servers.</t>
  </si>
  <si>
    <t>Tag</t>
  </si>
  <si>
    <t>Description</t>
  </si>
  <si>
    <t>Equipment</t>
  </si>
  <si>
    <t>Type</t>
  </si>
  <si>
    <t>I/O row</t>
  </si>
  <si>
    <t>Module</t>
  </si>
  <si>
    <t>Module type</t>
  </si>
  <si>
    <t>Channel</t>
  </si>
  <si>
    <t>Normal state / range</t>
  </si>
  <si>
    <t>Alarm level</t>
  </si>
  <si>
    <t>Operated by</t>
  </si>
  <si>
    <t>AH1-CB-OPEN</t>
  </si>
  <si>
    <t>Circuit breaker open</t>
  </si>
  <si>
    <t>11 kV panel AH1, Generator incomer</t>
  </si>
  <si>
    <t>DI</t>
  </si>
  <si>
    <t>R1-DI01</t>
  </si>
  <si>
    <t>AH1-CB-CLSD</t>
  </si>
  <si>
    <t>Circuit breaker closed</t>
  </si>
  <si>
    <t>AH1-CB-TRIP</t>
  </si>
  <si>
    <t>Circuit breaker tripped by protection</t>
  </si>
  <si>
    <t>Normally open</t>
  </si>
  <si>
    <t>AH1-ES-CLSD</t>
  </si>
  <si>
    <t>Earth switch closed</t>
  </si>
  <si>
    <t>Interlock: blocks remote close</t>
  </si>
  <si>
    <t>AH1-LR-REM</t>
  </si>
  <si>
    <t>Local/remote switch in remote</t>
  </si>
  <si>
    <t>Interlock: remote commands only in remote</t>
  </si>
  <si>
    <t>AH1-SPR-CHG</t>
  </si>
  <si>
    <t>Closing spring charged</t>
  </si>
  <si>
    <t>Normally closed</t>
  </si>
  <si>
    <t>AH1-GAS-LOW</t>
  </si>
  <si>
    <t>Gas pressure low</t>
  </si>
  <si>
    <t>AH1-RLY-OK</t>
  </si>
  <si>
    <t>Protection relay healthy</t>
  </si>
  <si>
    <t>AH1-AUX-OK</t>
  </si>
  <si>
    <t>Control supply healthy</t>
  </si>
  <si>
    <t>AH2-CB-OPEN</t>
  </si>
  <si>
    <t>11 kV panel AH2, PV incomer</t>
  </si>
  <si>
    <t>AH2-CB-CLSD</t>
  </si>
  <si>
    <t>AH2-CB-TRIP</t>
  </si>
  <si>
    <t>AH2-ES-CLSD</t>
  </si>
  <si>
    <t>AH2-LR-REM</t>
  </si>
  <si>
    <t>AH2-SPR-CHG</t>
  </si>
  <si>
    <t>AH2-GAS-LOW</t>
  </si>
  <si>
    <t>AH2-RLY-OK</t>
  </si>
  <si>
    <t>R1-DI02</t>
  </si>
  <si>
    <t>AH2-AUX-OK</t>
  </si>
  <si>
    <t>AH3-CB-OPEN</t>
  </si>
  <si>
    <t>11 kV panel AH3, BESS incomer</t>
  </si>
  <si>
    <t>AH3-CB-CLSD</t>
  </si>
  <si>
    <t>AH3-CB-TRIP</t>
  </si>
  <si>
    <t>AH3-ES-CLSD</t>
  </si>
  <si>
    <t>AH3-LR-REM</t>
  </si>
  <si>
    <t>AH3-SPR-CHG</t>
  </si>
  <si>
    <t>AH3-GAS-LOW</t>
  </si>
  <si>
    <t>AH3-RLY-OK</t>
  </si>
  <si>
    <t>AH3-AUX-OK</t>
  </si>
  <si>
    <t>AH4-CB-OPEN</t>
  </si>
  <si>
    <t>11 kV panel AH4, President feeder</t>
  </si>
  <si>
    <t>AH4-CB-CLSD</t>
  </si>
  <si>
    <t>AH4-CB-TRIP</t>
  </si>
  <si>
    <t>AH4-ES-CLSD</t>
  </si>
  <si>
    <t>AH4-LR-REM</t>
  </si>
  <si>
    <t>AH4-SPR-CHG</t>
  </si>
  <si>
    <t>R1-DI03</t>
  </si>
  <si>
    <t>AH4-GAS-LOW</t>
  </si>
  <si>
    <t>AH4-RLY-OK</t>
  </si>
  <si>
    <t>AH4-AUX-OK</t>
  </si>
  <si>
    <t>AH5-CB-OPEN</t>
  </si>
  <si>
    <t>11 kV panel AH5, Auxiliary transformer feeder</t>
  </si>
  <si>
    <t>AH5-CB-CLSD</t>
  </si>
  <si>
    <t>AH5-CB-TRIP</t>
  </si>
  <si>
    <t>AH5-ES-CLSD</t>
  </si>
  <si>
    <t>AH5-LR-REM</t>
  </si>
  <si>
    <t>AH5-SPR-CHG</t>
  </si>
  <si>
    <t>AH5-GAS-LOW</t>
  </si>
  <si>
    <t>AH5-RLY-OK</t>
  </si>
  <si>
    <t>AH5-AUX-OK</t>
  </si>
  <si>
    <t>AH6-CB-OPEN</t>
  </si>
  <si>
    <t>11 kV panel AH6, Prime Minister feeder</t>
  </si>
  <si>
    <t>AH6-CB-CLSD</t>
  </si>
  <si>
    <t>AH6-CB-TRIP</t>
  </si>
  <si>
    <t>AH6-ES-CLSD</t>
  </si>
  <si>
    <t>R1-DI04</t>
  </si>
  <si>
    <t>AH6-LR-REM</t>
  </si>
  <si>
    <t>AH6-SPR-CHG</t>
  </si>
  <si>
    <t>AH6-GAS-LOW</t>
  </si>
  <si>
    <t>AH6-RLY-OK</t>
  </si>
  <si>
    <t>AH6-AUX-OK</t>
  </si>
  <si>
    <t>AH7-CB-OPEN</t>
  </si>
  <si>
    <t>11 kV panel AH7, Spare feeder</t>
  </si>
  <si>
    <t>AH7-CB-CLSD</t>
  </si>
  <si>
    <t>AH7-CB-TRIP</t>
  </si>
  <si>
    <t>AH7-ES-CLSD</t>
  </si>
  <si>
    <t>AH7-LR-REM</t>
  </si>
  <si>
    <t>AH7-SPR-CHG</t>
  </si>
  <si>
    <t>AH7-GAS-LOW</t>
  </si>
  <si>
    <t>AH7-RLY-OK</t>
  </si>
  <si>
    <t>AH7-AUX-OK</t>
  </si>
  <si>
    <t>AH1-CB-OPEN-CMD</t>
  </si>
  <si>
    <t>Open circuit breaker</t>
  </si>
  <si>
    <t>DO</t>
  </si>
  <si>
    <t>R1-CO01</t>
  </si>
  <si>
    <t>Pulse</t>
  </si>
  <si>
    <t>Operator</t>
  </si>
  <si>
    <t>Select then confirm</t>
  </si>
  <si>
    <t>AH1-CB-CLOSE-CMD</t>
  </si>
  <si>
    <t>Close circuit breaker</t>
  </si>
  <si>
    <t>Select then confirm; blocked if earthed</t>
  </si>
  <si>
    <t>AH2-CB-OPEN-CMD</t>
  </si>
  <si>
    <t>AH2-CB-CLOSE-CMD</t>
  </si>
  <si>
    <t>AH3-CB-OPEN-CMD</t>
  </si>
  <si>
    <t>AH3-CB-CLOSE-CMD</t>
  </si>
  <si>
    <t>AH4-CB-OPEN-CMD</t>
  </si>
  <si>
    <t>AH4-CB-CLOSE-CMD</t>
  </si>
  <si>
    <t>AH5-CB-OPEN-CMD</t>
  </si>
  <si>
    <t>AH5-CB-CLOSE-CMD</t>
  </si>
  <si>
    <t>AH6-CB-OPEN-CMD</t>
  </si>
  <si>
    <t>AH6-CB-CLOSE-CMD</t>
  </si>
  <si>
    <t>AH7-CB-OPEN-CMD</t>
  </si>
  <si>
    <t>R1-CO02</t>
  </si>
  <si>
    <t>AH7-CB-CLOSE-CMD</t>
  </si>
  <si>
    <t>AH8-NER-EF</t>
  </si>
  <si>
    <t>Earth fault current alarm</t>
  </si>
  <si>
    <t>11 kV panel AH8, neutral earthing resistor</t>
  </si>
  <si>
    <t>AH8-NER-TEMP</t>
  </si>
  <si>
    <t>Resistor temperature high</t>
  </si>
  <si>
    <t>R1-DI05</t>
  </si>
  <si>
    <t>AH8-AUX-OK</t>
  </si>
  <si>
    <t>Panel supply healthy</t>
  </si>
  <si>
    <t>SYS-BEACON</t>
  </si>
  <si>
    <t>Critical alarm beacon and sounder</t>
  </si>
  <si>
    <t>Control room alarm beacon</t>
  </si>
  <si>
    <t>R1-DO01</t>
  </si>
  <si>
    <t>De-energised</t>
  </si>
  <si>
    <t>Automatic</t>
  </si>
  <si>
    <t>SYS-CP-HEALTHY</t>
  </si>
  <si>
    <t>Controller healthy output (watchdog)</t>
  </si>
  <si>
    <t>SICAM CP-8050</t>
  </si>
  <si>
    <t>Energised</t>
  </si>
  <si>
    <t>T-AUX-OT-ALM</t>
  </si>
  <si>
    <t>Oil temperature alarm</t>
  </si>
  <si>
    <t>Auxiliary transformer 100 kVA</t>
  </si>
  <si>
    <t>R2-DI01</t>
  </si>
  <si>
    <t>T-AUX-OT-TRIP</t>
  </si>
  <si>
    <t>Oil temperature trip</t>
  </si>
  <si>
    <t>T-AUX-WT-ALM</t>
  </si>
  <si>
    <t>Winding temperature alarm</t>
  </si>
  <si>
    <t>T-AUX-WT-TRIP</t>
  </si>
  <si>
    <t>Winding temperature trip</t>
  </si>
  <si>
    <t>T-AUX-PRD</t>
  </si>
  <si>
    <t>Pressure relief device operated</t>
  </si>
  <si>
    <t>T-AUX-OL-LOW</t>
  </si>
  <si>
    <t>Oil level low</t>
  </si>
  <si>
    <t>T-INV-OT-ALM</t>
  </si>
  <si>
    <t>Inverter transformer</t>
  </si>
  <si>
    <t>BESS and inverter transformer yard</t>
  </si>
  <si>
    <t>R5-DI01</t>
  </si>
  <si>
    <t>T-INV-OT-TRIP</t>
  </si>
  <si>
    <t>T-INV-WT-ALM</t>
  </si>
  <si>
    <t>T-INV-WT-TRIP</t>
  </si>
  <si>
    <t>T-INV-PRD</t>
  </si>
  <si>
    <t>T-INV-OL-LOW</t>
  </si>
  <si>
    <t>T-DG-OT-ALM</t>
  </si>
  <si>
    <t>Generator step-up transformer</t>
  </si>
  <si>
    <t>R6-DI01</t>
  </si>
  <si>
    <t>T-DG-OT-TRIP</t>
  </si>
  <si>
    <t>T-DG-WT-ALM</t>
  </si>
  <si>
    <t>T-DG-WT-TRIP</t>
  </si>
  <si>
    <t>T-DG-PRD</t>
  </si>
  <si>
    <t>T-DG-OL-LOW</t>
  </si>
  <si>
    <t>DG1-GCB-CLSD</t>
  </si>
  <si>
    <t>Generator breaker closed</t>
  </si>
  <si>
    <t>Diesel generator DG1</t>
  </si>
  <si>
    <t>Backup to Modbus status</t>
  </si>
  <si>
    <t>DG1-COM-ALM</t>
  </si>
  <si>
    <t>Common alarm</t>
  </si>
  <si>
    <t>DG1-ESTOP</t>
  </si>
  <si>
    <t>Emergency stop active</t>
  </si>
  <si>
    <t>DG1-RUN</t>
  </si>
  <si>
    <t>Engine running</t>
  </si>
  <si>
    <t>DG2-GCB-CLSD</t>
  </si>
  <si>
    <t>Diesel generator DG2</t>
  </si>
  <si>
    <t>DG2-COM-ALM</t>
  </si>
  <si>
    <t>DG2-ESTOP</t>
  </si>
  <si>
    <t>DG2-RUN</t>
  </si>
  <si>
    <t>FIRE-PREALM</t>
  </si>
  <si>
    <t>Pre-alarm</t>
  </si>
  <si>
    <t>Reset at panel only</t>
  </si>
  <si>
    <t>FIRE-ALM</t>
  </si>
  <si>
    <t>Fire alarm</t>
  </si>
  <si>
    <t>FIRE-FLT</t>
  </si>
  <si>
    <t>System fault</t>
  </si>
  <si>
    <t>FIRE-REL</t>
  </si>
  <si>
    <t>Suppression released</t>
  </si>
  <si>
    <t>FIRE-AGENT-LOW</t>
  </si>
  <si>
    <t>Agent pressure low</t>
  </si>
  <si>
    <t>FIRE-ISOL</t>
  </si>
  <si>
    <t>System isolated</t>
  </si>
  <si>
    <t>FIRE-MAN-REL</t>
  </si>
  <si>
    <t>Manual release activated</t>
  </si>
  <si>
    <t>FIRE-PSU-FLT</t>
  </si>
  <si>
    <t>Panel supply fault</t>
  </si>
  <si>
    <t>AUXLV-INC-CLSD</t>
  </si>
  <si>
    <t>Auxiliary LV incomer closed</t>
  </si>
  <si>
    <t>Auxiliary supplies and UPS</t>
  </si>
  <si>
    <t>AUXLV-INC-TRIP</t>
  </si>
  <si>
    <t>Auxiliary LV incomer tripped</t>
  </si>
  <si>
    <t>AUXLV-SPD-FLT</t>
  </si>
  <si>
    <t>Surge arrester failed</t>
  </si>
  <si>
    <t>UPS-ON-BATT</t>
  </si>
  <si>
    <t>UPS on battery</t>
  </si>
  <si>
    <t>UPS-BATT-LOW</t>
  </si>
  <si>
    <t>UPS battery low</t>
  </si>
  <si>
    <t>UPS-FLT</t>
  </si>
  <si>
    <t>UPS fault</t>
  </si>
  <si>
    <t>UPS-BYPASS</t>
  </si>
  <si>
    <t>UPS on bypass</t>
  </si>
  <si>
    <t>DC-CHG-FLT</t>
  </si>
  <si>
    <t>DC charger fault</t>
  </si>
  <si>
    <t>DC-EARTH-FLT</t>
  </si>
  <si>
    <t>DC earth fault</t>
  </si>
  <si>
    <t>DC-UV</t>
  </si>
  <si>
    <t>DC bus undervoltage</t>
  </si>
  <si>
    <t>SWR-HVAC-FLT</t>
  </si>
  <si>
    <t>Switchroom air conditioning fault</t>
  </si>
  <si>
    <t>R2-DI02</t>
  </si>
  <si>
    <t>SWR-TEMP-HI</t>
  </si>
  <si>
    <t>Switchroom temperature high</t>
  </si>
  <si>
    <t>ESTOP-SWR</t>
  </si>
  <si>
    <t>Plant emergency stop pressed, switchroom</t>
  </si>
  <si>
    <t>Emergency stops, doors and I/O panels</t>
  </si>
  <si>
    <t>DOOR-SCADA</t>
  </si>
  <si>
    <t>SCADA cabinet door open</t>
  </si>
  <si>
    <t>DOOR-SWR</t>
  </si>
  <si>
    <t>Switchroom door open</t>
  </si>
  <si>
    <t>DOOR-GIS</t>
  </si>
  <si>
    <t>11 kV switchgear room door open</t>
  </si>
  <si>
    <t>ESTOP-BESS</t>
  </si>
  <si>
    <t>Plant emergency stop pressed, BESS area</t>
  </si>
  <si>
    <t>DOOR-BESS</t>
  </si>
  <si>
    <t>BESS container door open</t>
  </si>
  <si>
    <t>YARD-PNL-SUP-OK</t>
  </si>
  <si>
    <t>Yard I/O panel supply healthy</t>
  </si>
  <si>
    <t>R5-DI02</t>
  </si>
  <si>
    <t>YARD-PNL-DOOR</t>
  </si>
  <si>
    <t>Yard I/O panel door open</t>
  </si>
  <si>
    <t>GEN-PNL-SUP-OK</t>
  </si>
  <si>
    <t>Generator I/O panel supply healthy</t>
  </si>
  <si>
    <t>GEN-PNL-DOOR</t>
  </si>
  <si>
    <t>Generator I/O panel door open</t>
  </si>
  <si>
    <t>DG1-FUEL</t>
  </si>
  <si>
    <t>Fuel tank level</t>
  </si>
  <si>
    <t>AI</t>
  </si>
  <si>
    <t>R6-AI01</t>
  </si>
  <si>
    <t>4-20 mA = 0-100 %</t>
  </si>
  <si>
    <t>3 below 20 %</t>
  </si>
  <si>
    <t>DG2-FUEL</t>
  </si>
  <si>
    <t>DC-110-V</t>
  </si>
  <si>
    <t>110 V DC bus voltage</t>
  </si>
  <si>
    <t>R2-AI01</t>
  </si>
  <si>
    <t>4-20 mA = 0-150 V</t>
  </si>
  <si>
    <t>2 outside limits</t>
  </si>
  <si>
    <t>DC-24-V</t>
  </si>
  <si>
    <t>24 V DC bus voltage</t>
  </si>
  <si>
    <t>4-20 mA = 0-36 V</t>
  </si>
  <si>
    <t>PRS-RS1-OPEN</t>
  </si>
  <si>
    <t>Ring switch 1 open</t>
  </si>
  <si>
    <t>President station RMU</t>
  </si>
  <si>
    <t>President station</t>
  </si>
  <si>
    <t>R3-DI01</t>
  </si>
  <si>
    <t>PRS-RS1-CLSD</t>
  </si>
  <si>
    <t>Ring switch 1 closed</t>
  </si>
  <si>
    <t>PRS-RS1-ES</t>
  </si>
  <si>
    <t>Ring switch 1 earth switch closed</t>
  </si>
  <si>
    <t>PRS-RS2-OPEN</t>
  </si>
  <si>
    <t>Ring switch 2 open</t>
  </si>
  <si>
    <t>PRS-RS2-CLSD</t>
  </si>
  <si>
    <t>Ring switch 2 closed</t>
  </si>
  <si>
    <t>PRS-RS2-ES</t>
  </si>
  <si>
    <t>Ring switch 2 earth switch closed</t>
  </si>
  <si>
    <t>PRS-CB-OPEN</t>
  </si>
  <si>
    <t>Transformer breaker open</t>
  </si>
  <si>
    <t>PRS-CB-CLSD</t>
  </si>
  <si>
    <t>Transformer breaker closed</t>
  </si>
  <si>
    <t>PRS-CB-ES</t>
  </si>
  <si>
    <t>Transformer breaker earth switch closed</t>
  </si>
  <si>
    <t>PRS-CB-TRIP</t>
  </si>
  <si>
    <t>Transformer breaker tripped by ST260E</t>
  </si>
  <si>
    <t>PRS-GAS-LOW</t>
  </si>
  <si>
    <t>RMU gas pressure low</t>
  </si>
  <si>
    <t>PRS-LR-REM</t>
  </si>
  <si>
    <t>RMU local/remote in remote</t>
  </si>
  <si>
    <t>PRS-FPI</t>
  </si>
  <si>
    <t>Fault passage indicator operated</t>
  </si>
  <si>
    <t>PRS-TX-OT-ALM</t>
  </si>
  <si>
    <t>President station transformer 630 kVA</t>
  </si>
  <si>
    <t>PRS-TX-OT-TRIP</t>
  </si>
  <si>
    <t>PRS-TX-WT-ALM</t>
  </si>
  <si>
    <t>PRS-TX-WT-TRIP</t>
  </si>
  <si>
    <t>R3-DI02</t>
  </si>
  <si>
    <t>PRS-TX-PRD</t>
  </si>
  <si>
    <t>PRS-TX-OL-LOW</t>
  </si>
  <si>
    <t>PRS-LV-INC-CLSD</t>
  </si>
  <si>
    <t>LV incomer closed</t>
  </si>
  <si>
    <t>President station LVDB</t>
  </si>
  <si>
    <t>PRS-LV-INC-TRIP</t>
  </si>
  <si>
    <t>LV incomer tripped</t>
  </si>
  <si>
    <t>PRS-LV-F01-CLSD</t>
  </si>
  <si>
    <t>Outgoing way 1 closed</t>
  </si>
  <si>
    <t>PRS-LV-F02-CLSD</t>
  </si>
  <si>
    <t>Outgoing way 2 closed</t>
  </si>
  <si>
    <t>PRS-LV-F03-CLSD</t>
  </si>
  <si>
    <t>Outgoing way 3 closed</t>
  </si>
  <si>
    <t>PRS-LV-F04-CLSD</t>
  </si>
  <si>
    <t>Outgoing way 4 closed</t>
  </si>
  <si>
    <t>PRS-LV-F05-CLSD</t>
  </si>
  <si>
    <t>Outgoing way 5 closed</t>
  </si>
  <si>
    <t>PRS-LV-F06-CLSD</t>
  </si>
  <si>
    <t>Outgoing way 6 closed</t>
  </si>
  <si>
    <t>PRS-LV-F07-CLSD</t>
  </si>
  <si>
    <t>Outgoing way 7 closed</t>
  </si>
  <si>
    <t>PRS-LV-F08-CLSD</t>
  </si>
  <si>
    <t>Outgoing way 8 closed</t>
  </si>
  <si>
    <t>PRS-LV-F09-CLSD</t>
  </si>
  <si>
    <t>Outgoing way 9 closed</t>
  </si>
  <si>
    <t>PRS-LV-F10-CLSD</t>
  </si>
  <si>
    <t>Outgoing way 10 closed</t>
  </si>
  <si>
    <t>PRS-LV-SPD-FLT</t>
  </si>
  <si>
    <t>PRS-PNL-SUP-OK</t>
  </si>
  <si>
    <t>I/O panel supply healthy</t>
  </si>
  <si>
    <t>R3-DI03</t>
  </si>
  <si>
    <t>PRS-RS1-OPEN-CMD</t>
  </si>
  <si>
    <t>Open ring switch 1</t>
  </si>
  <si>
    <t>R3-CO01</t>
  </si>
  <si>
    <t>PRS-RS1-CLOSE-CMD</t>
  </si>
  <si>
    <t>Close ring switch 1</t>
  </si>
  <si>
    <t>PRS-RS2-OPEN-CMD</t>
  </si>
  <si>
    <t>Open ring switch 2</t>
  </si>
  <si>
    <t>PRS-RS2-CLOSE-CMD</t>
  </si>
  <si>
    <t>Close ring switch 2</t>
  </si>
  <si>
    <t>PRS-CB-OPEN-CMD</t>
  </si>
  <si>
    <t>Open transformer breaker</t>
  </si>
  <si>
    <t>PRS-CB-CLOSE-CMD</t>
  </si>
  <si>
    <t>Close transformer breaker</t>
  </si>
  <si>
    <t>PRS-LV-INC-OPEN-CMD</t>
  </si>
  <si>
    <t>Open LV incomer</t>
  </si>
  <si>
    <t>PRS-LV-INC-CLOSE-CMD</t>
  </si>
  <si>
    <t>Close LV incomer</t>
  </si>
  <si>
    <t>PMS-RS1-OPEN</t>
  </si>
  <si>
    <t>Prime Minister station RMU</t>
  </si>
  <si>
    <t>Prime Minister station</t>
  </si>
  <si>
    <t>R4-DI01</t>
  </si>
  <si>
    <t>PMS-RS1-CLSD</t>
  </si>
  <si>
    <t>PMS-RS1-ES</t>
  </si>
  <si>
    <t>PMS-RS2-OPEN</t>
  </si>
  <si>
    <t>PMS-RS2-CLSD</t>
  </si>
  <si>
    <t>PMS-RS2-ES</t>
  </si>
  <si>
    <t>PMS-CB-OPEN</t>
  </si>
  <si>
    <t>PMS-CB-CLSD</t>
  </si>
  <si>
    <t>PMS-CB-ES</t>
  </si>
  <si>
    <t>PMS-CB-TRIP</t>
  </si>
  <si>
    <t>PMS-GAS-LOW</t>
  </si>
  <si>
    <t>PMS-LR-REM</t>
  </si>
  <si>
    <t>PMS-FPI</t>
  </si>
  <si>
    <t>PMS-TX-OT-ALM</t>
  </si>
  <si>
    <t>Prime Minister station transformer 630 kVA</t>
  </si>
  <si>
    <t>PMS-TX-OT-TRIP</t>
  </si>
  <si>
    <t>PMS-TX-WT-ALM</t>
  </si>
  <si>
    <t>PMS-TX-WT-TRIP</t>
  </si>
  <si>
    <t>R4-DI02</t>
  </si>
  <si>
    <t>PMS-TX-PRD</t>
  </si>
  <si>
    <t>PMS-TX-OL-LOW</t>
  </si>
  <si>
    <t>PMS-LV-INC-CLSD</t>
  </si>
  <si>
    <t>Prime Minister station LVDB</t>
  </si>
  <si>
    <t>PMS-LV-INC-TRIP</t>
  </si>
  <si>
    <t>PMS-LV-F01-CLSD</t>
  </si>
  <si>
    <t>PMS-LV-F02-CLSD</t>
  </si>
  <si>
    <t>PMS-LV-F03-CLSD</t>
  </si>
  <si>
    <t>PMS-LV-F04-CLSD</t>
  </si>
  <si>
    <t>PMS-LV-F05-CLSD</t>
  </si>
  <si>
    <t>PMS-LV-F06-CLSD</t>
  </si>
  <si>
    <t>PMS-LV-F07-CLSD</t>
  </si>
  <si>
    <t>PMS-LV-F08-CLSD</t>
  </si>
  <si>
    <t>PMS-LV-F09-CLSD</t>
  </si>
  <si>
    <t>PMS-LV-F10-CLSD</t>
  </si>
  <si>
    <t>PMS-LV-SPD-FLT</t>
  </si>
  <si>
    <t>PMS-PNL-SUP-OK</t>
  </si>
  <si>
    <t>R4-DI03</t>
  </si>
  <si>
    <t>PMS-RS1-OPEN-CMD</t>
  </si>
  <si>
    <t>R4-CO01</t>
  </si>
  <si>
    <t>PMS-RS1-CLOSE-CMD</t>
  </si>
  <si>
    <t>PMS-RS2-OPEN-CMD</t>
  </si>
  <si>
    <t>PMS-RS2-CLOSE-CMD</t>
  </si>
  <si>
    <t>PMS-CB-OPEN-CMD</t>
  </si>
  <si>
    <t>PMS-CB-CLOSE-CMD</t>
  </si>
  <si>
    <t>PMS-LV-INC-OPEN-CMD</t>
  </si>
  <si>
    <t>PMS-LV-INC-CLOSE-CMD</t>
  </si>
  <si>
    <t>Channels</t>
  </si>
  <si>
    <t>Used</t>
  </si>
  <si>
    <t>Spare</t>
  </si>
  <si>
    <t>Spare %</t>
  </si>
  <si>
    <t>11 kV switchroom (local)</t>
  </si>
  <si>
    <t>11 kV switchroom (CI-8532)</t>
  </si>
  <si>
    <t>President station (CI-8533)</t>
  </si>
  <si>
    <t>Prime Minister station (CI-8533)</t>
  </si>
  <si>
    <t>BESS and inverter transformer yard (CI-8533)</t>
  </si>
  <si>
    <t>Generator area (CI-8533)</t>
  </si>
  <si>
    <t>R6-DI02</t>
  </si>
  <si>
    <t>Totals by module type</t>
  </si>
  <si>
    <t>Modules</t>
  </si>
  <si>
    <t>Digital input, 16</t>
  </si>
  <si>
    <t>Secured command output, 12</t>
  </si>
  <si>
    <t>Relay output, 8</t>
  </si>
  <si>
    <t>Analogue input, 4</t>
  </si>
  <si>
    <t>Total</t>
  </si>
  <si>
    <t>Hardwired signals by type</t>
  </si>
  <si>
    <t>Meaning</t>
  </si>
  <si>
    <t>Signals</t>
  </si>
  <si>
    <t>Digital input (status, alarm)</t>
  </si>
  <si>
    <t>Digital output (command)</t>
  </si>
  <si>
    <t>Analogue input (4-20 mA)</t>
  </si>
  <si>
    <t>Remote interface</t>
  </si>
  <si>
    <t>Product number</t>
  </si>
  <si>
    <t>Link to CP-8050</t>
  </si>
  <si>
    <t>Equipment wired to this row</t>
  </si>
  <si>
    <t>I/O modules</t>
  </si>
  <si>
    <t>Hardwired signals</t>
  </si>
  <si>
    <t>Spare channels</t>
  </si>
  <si>
    <t>11 kV switchroom, beside the CP-8050</t>
  </si>
  <si>
    <t>None (local row)</t>
  </si>
  <si>
    <t>Backplane, no cable</t>
  </si>
  <si>
    <t>11 kV panels AH1 to AH8, alarm beacon, controller watchdog</t>
  </si>
  <si>
    <t>11 kV switchroom, SCADA cabinet</t>
  </si>
  <si>
    <t>CI-8532 (electrical)</t>
  </si>
  <si>
    <t>Copper, inside the cabinet</t>
  </si>
  <si>
    <t>Auxiliary transformer, auxiliary LV board, UPS, DC supplies, switchroom E-stop and doors</t>
  </si>
  <si>
    <t>President office transformer station</t>
  </si>
  <si>
    <t>CI-8533 (optical)</t>
  </si>
  <si>
    <t>Fibre pair, laid with the 11 kV cable</t>
  </si>
  <si>
    <t>RMU, 630 kVA transformer, LVDB</t>
  </si>
  <si>
    <t>Prime Minister office transformer station</t>
  </si>
  <si>
    <t>Spare fibre pair in the field switch 2 cable</t>
  </si>
  <si>
    <t>Inverter transformer, battery fire panel, BESS E-stop and door, panel supervision</t>
  </si>
  <si>
    <t>Spare fibre pair in the field switch 3 cable</t>
  </si>
  <si>
    <t>DG1 and DG2 status and fuel level, DG step-up transformer, panel supervision</t>
  </si>
  <si>
    <t>Each remote row is a small panel near its equipment. Field contacts are wired a short distance to that panel; one link carries all signals to the CP-8050.</t>
  </si>
  <si>
    <t>Rows within about 100 m of the switchroom may use CI-8532 on copper instead of CI-8533 on fibre. Fibre is preferred between buildings for surge and earth-potential immunity.</t>
  </si>
  <si>
    <t>Confirm with Siemens: fibre type and maximum length for CI-8533, and whether the remote link can share a fibre cable with the plant network on separate cores.</t>
  </si>
  <si>
    <t>The CP-8050 accepts up to 16 I/O rows of 8 modules, so the design uses 6 of 16 rows.</t>
  </si>
  <si>
    <t>Source / protocol</t>
  </si>
  <si>
    <t>Point</t>
  </si>
  <si>
    <t>Direction</t>
  </si>
  <si>
    <t>Data type</t>
  </si>
  <si>
    <t>Unit</t>
  </si>
  <si>
    <t>Devices</t>
  </si>
  <si>
    <t>Points each</t>
  </si>
  <si>
    <t>Total points</t>
  </si>
  <si>
    <t>PV inverter NB01 to NB04</t>
  </si>
  <si>
    <t>PLC box, Modbus TCP</t>
  </si>
  <si>
    <t>Active power</t>
  </si>
  <si>
    <t>Read</t>
  </si>
  <si>
    <t>Measured</t>
  </si>
  <si>
    <t>kW</t>
  </si>
  <si>
    <t>Reactive power</t>
  </si>
  <si>
    <t>kvar</t>
  </si>
  <si>
    <t>AC voltage L1, L2, L3 (3 points)</t>
  </si>
  <si>
    <t>V</t>
  </si>
  <si>
    <t>AC current L1, L2, L3 (3 points)</t>
  </si>
  <si>
    <t>A</t>
  </si>
  <si>
    <t>Frequency</t>
  </si>
  <si>
    <t>Hz</t>
  </si>
  <si>
    <t>Power factor</t>
  </si>
  <si>
    <t>DC voltage</t>
  </si>
  <si>
    <t>DC current</t>
  </si>
  <si>
    <t>DC power</t>
  </si>
  <si>
    <t>Energy today</t>
  </si>
  <si>
    <t>Counter</t>
  </si>
  <si>
    <t>kWh</t>
  </si>
  <si>
    <t>Energy total</t>
  </si>
  <si>
    <t>MWh</t>
  </si>
  <si>
    <t>Internal temperature</t>
  </si>
  <si>
    <t>deg C</t>
  </si>
  <si>
    <t>Insulation resistance</t>
  </si>
  <si>
    <t>kohm</t>
  </si>
  <si>
    <t>Operating state</t>
  </si>
  <si>
    <t>Fault code</t>
  </si>
  <si>
    <t>Alarm code</t>
  </si>
  <si>
    <t>Communication healthy</t>
  </si>
  <si>
    <t>Active power limit</t>
  </si>
  <si>
    <t>Write</t>
  </si>
  <si>
    <t>Setpoint</t>
  </si>
  <si>
    <t>%</t>
  </si>
  <si>
    <t>Admin</t>
  </si>
  <si>
    <t>Normally set by the EMS; write only if the EMS allows</t>
  </si>
  <si>
    <t>Start / stop</t>
  </si>
  <si>
    <t>Command</t>
  </si>
  <si>
    <t>Embedded EMS</t>
  </si>
  <si>
    <t>Plant active power</t>
  </si>
  <si>
    <t>Plant reactive power</t>
  </si>
  <si>
    <t>PV total power</t>
  </si>
  <si>
    <t>BESS power</t>
  </si>
  <si>
    <t>Generator total power</t>
  </si>
  <si>
    <t>Load power</t>
  </si>
  <si>
    <t>Bus voltage</t>
  </si>
  <si>
    <t>kV</t>
  </si>
  <si>
    <t>Bus frequency</t>
  </si>
  <si>
    <t>Operating mode</t>
  </si>
  <si>
    <t>EMS state</t>
  </si>
  <si>
    <t>EMS summary alarm</t>
  </si>
  <si>
    <t>Generator start request</t>
  </si>
  <si>
    <t>PV curtailment active</t>
  </si>
  <si>
    <t>EMS heartbeat</t>
  </si>
  <si>
    <t>Read/Write</t>
  </si>
  <si>
    <t>Link supervision</t>
  </si>
  <si>
    <t>Operating mode select</t>
  </si>
  <si>
    <t>State of charge minimum</t>
  </si>
  <si>
    <t>State of charge maximum</t>
  </si>
  <si>
    <t>Generator start threshold</t>
  </si>
  <si>
    <t>Generator stop threshold</t>
  </si>
  <si>
    <t>BESS power limit</t>
  </si>
  <si>
    <t>BESS C-rate limit enable / disable</t>
  </si>
  <si>
    <t>Calibration only; available only if the EMS exposes it</t>
  </si>
  <si>
    <t>Fault reset, level 3</t>
  </si>
  <si>
    <t>Fault reset, levels 1 and 2</t>
  </si>
  <si>
    <t>Battery system ST3340UX</t>
  </si>
  <si>
    <t>State of charge</t>
  </si>
  <si>
    <t>State of health</t>
  </si>
  <si>
    <t>Cell voltage maximum</t>
  </si>
  <si>
    <t>Cell voltage minimum</t>
  </si>
  <si>
    <t>Cell temperature maximum</t>
  </si>
  <si>
    <t>Cell temperature minimum</t>
  </si>
  <si>
    <t>Charge power limit</t>
  </si>
  <si>
    <t>Discharge power limit</t>
  </si>
  <si>
    <t>Energy charged total</t>
  </si>
  <si>
    <t>Energy discharged total</t>
  </si>
  <si>
    <t>Converter state</t>
  </si>
  <si>
    <t>Battery management state</t>
  </si>
  <si>
    <t>Racks online</t>
  </si>
  <si>
    <t>DC contactors closed</t>
  </si>
  <si>
    <t>Cooling system state</t>
  </si>
  <si>
    <t>Alarm level 1</t>
  </si>
  <si>
    <t>Alarm level 2</t>
  </si>
  <si>
    <t>Alarm level 3</t>
  </si>
  <si>
    <t>Container fire status</t>
  </si>
  <si>
    <t>Generator controller DG1, DG2</t>
  </si>
  <si>
    <t>Modbus TCP or RTU</t>
  </si>
  <si>
    <t>Voltage L1, L2, L3 (3 points)</t>
  </si>
  <si>
    <t>Current L1, L2, L3 (3 points)</t>
  </si>
  <si>
    <t>Oil pressure</t>
  </si>
  <si>
    <t>kPa</t>
  </si>
  <si>
    <t>Coolant temperature</t>
  </si>
  <si>
    <t>Starter battery voltage</t>
  </si>
  <si>
    <t>Fuel level</t>
  </si>
  <si>
    <t>Running hours</t>
  </si>
  <si>
    <t>h</t>
  </si>
  <si>
    <t>Number of starts</t>
  </si>
  <si>
    <t>Controller mode</t>
  </si>
  <si>
    <t>Breaker status</t>
  </si>
  <si>
    <t>Warning</t>
  </si>
  <si>
    <t>Shutdown alarm</t>
  </si>
  <si>
    <t>Start</t>
  </si>
  <si>
    <t>Only in manual mode</t>
  </si>
  <si>
    <t>Stop</t>
  </si>
  <si>
    <t>Mode auto / manual</t>
  </si>
  <si>
    <t>11 kV protection relay AH1 to AH7</t>
  </si>
  <si>
    <t>IEC 61850 or Modbus TCP</t>
  </si>
  <si>
    <t>Phase current L1, L2, L3 (3 points)</t>
  </si>
  <si>
    <t>Earth current</t>
  </si>
  <si>
    <t>Energy import</t>
  </si>
  <si>
    <t>Energy export</t>
  </si>
  <si>
    <t>Breaker position</t>
  </si>
  <si>
    <t>Double point</t>
  </si>
  <si>
    <t>Overcurrent trip (50/51)</t>
  </si>
  <si>
    <t>Event</t>
  </si>
  <si>
    <t>Earth fault trip (50N/51N)</t>
  </si>
  <si>
    <t>Under / overvoltage trip (27/59)</t>
  </si>
  <si>
    <t>Frequency trip (81)</t>
  </si>
  <si>
    <t>Relay healthy</t>
  </si>
  <si>
    <t>Disturbance record available</t>
  </si>
  <si>
    <t>RMU relay ST260E</t>
  </si>
  <si>
    <t>Modbus RTU through MGate</t>
  </si>
  <si>
    <t>Overcurrent trip</t>
  </si>
  <si>
    <t>Earth fault trip</t>
  </si>
  <si>
    <t>Power meter PM5560</t>
  </si>
  <si>
    <t>Voltage L-N, 3 phases (3 points)</t>
  </si>
  <si>
    <t>Current, 3 phases (3 points)</t>
  </si>
  <si>
    <t>Apparent power</t>
  </si>
  <si>
    <t>kVA</t>
  </si>
  <si>
    <t>Active energy</t>
  </si>
  <si>
    <t>Reactive energy</t>
  </si>
  <si>
    <t>kvarh</t>
  </si>
  <si>
    <t>Voltage THD</t>
  </si>
  <si>
    <t>Current THD</t>
  </si>
  <si>
    <t>Weather logger blue'Log XM</t>
  </si>
  <si>
    <t>Plane-of-array irradiance</t>
  </si>
  <si>
    <t>W/m2</t>
  </si>
  <si>
    <t>Wind speed</t>
  </si>
  <si>
    <t>m/s</t>
  </si>
  <si>
    <t>Wind direction</t>
  </si>
  <si>
    <t>deg</t>
  </si>
  <si>
    <t>Ambient temperature</t>
  </si>
  <si>
    <t>Module temperature</t>
  </si>
  <si>
    <t>Logger healthy</t>
  </si>
  <si>
    <t>UPS</t>
  </si>
  <si>
    <t>Modbus TCP or SNMP</t>
  </si>
  <si>
    <t>Input voltage</t>
  </si>
  <si>
    <t>Output load</t>
  </si>
  <si>
    <t>Battery charge</t>
  </si>
  <si>
    <t>Runtime remaining</t>
  </si>
  <si>
    <t>min</t>
  </si>
  <si>
    <t>On battery</t>
  </si>
  <si>
    <t>Fault</t>
  </si>
  <si>
    <t>Network switches (core and field)</t>
  </si>
  <si>
    <t>SNMP v3</t>
  </si>
  <si>
    <t>Device healthy</t>
  </si>
  <si>
    <t>Ring status</t>
  </si>
  <si>
    <t>Firewall and GPS time server</t>
  </si>
  <si>
    <t>Time synchronised / VPN session active</t>
  </si>
  <si>
    <t>PLC box</t>
  </si>
  <si>
    <t>Communication healthy per inverter (4 points)</t>
  </si>
  <si>
    <t>SICAM CP-8050 internal</t>
  </si>
  <si>
    <t>Internal</t>
  </si>
  <si>
    <t>Controller healthy</t>
  </si>
  <si>
    <t>Power supply 1 healthy</t>
  </si>
  <si>
    <t>Power supply 2 healthy</t>
  </si>
  <si>
    <t>I/O row 1 healthy</t>
  </si>
  <si>
    <t>I/O row 2 link healthy</t>
  </si>
  <si>
    <t>I/O row 3 link healthy</t>
  </si>
  <si>
    <t>I/O row 4 link healthy</t>
  </si>
  <si>
    <t>I/O row 5 link healthy</t>
  </si>
  <si>
    <t>I/O row 6 link healthy</t>
  </si>
  <si>
    <t>Link to each communication device healthy (8 links)</t>
  </si>
  <si>
    <t>Typical points only. Replace each block with the vendor's point table when received.</t>
  </si>
  <si>
    <t>No.</t>
  </si>
  <si>
    <t>Item</t>
  </si>
  <si>
    <t>Order no. to search</t>
  </si>
  <si>
    <t>Documents to collect</t>
  </si>
  <si>
    <t>Where to download</t>
  </si>
  <si>
    <t>Collected</t>
  </si>
  <si>
    <t>SICAM A8000 CP-8050</t>
  </si>
  <si>
    <t>Datasheet; CP-8050 system manual; security manual</t>
  </si>
  <si>
    <t>Siemens Industry Online Support (support.industry.siemens.com): search the order number, tab 'Product information' or 'Manuals'</t>
  </si>
  <si>
    <t>Power supply</t>
  </si>
  <si>
    <t>SICAM A8000 PS-8642</t>
  </si>
  <si>
    <t>Datasheet</t>
  </si>
  <si>
    <t>Ethernet interface</t>
  </si>
  <si>
    <t>SICAM A8000 CI-8520</t>
  </si>
  <si>
    <t>Flash card</t>
  </si>
  <si>
    <t>SICAM flash card 2 GB</t>
  </si>
  <si>
    <t>Digital input module</t>
  </si>
  <si>
    <t>SICAM A8000 DI-8112</t>
  </si>
  <si>
    <t>Datasheet (confirm input voltage)</t>
  </si>
  <si>
    <t>Secured command output</t>
  </si>
  <si>
    <t>SICAM A8000 DO-8221</t>
  </si>
  <si>
    <t>Ask Siemens</t>
  </si>
  <si>
    <t>Relay output module</t>
  </si>
  <si>
    <t>SICAM A8000 DO-8212</t>
  </si>
  <si>
    <t>Analogue input module</t>
  </si>
  <si>
    <t>SICAM A8000 AI-8320</t>
  </si>
  <si>
    <t>Remote interface, electrical</t>
  </si>
  <si>
    <t>SICAM A8000 CI-8532</t>
  </si>
  <si>
    <t>Remote interface, optical</t>
  </si>
  <si>
    <t>SICAM A8000 CI-8533</t>
  </si>
  <si>
    <t>Datasheet, incl. fibre type and maximum length</t>
  </si>
  <si>
    <t>SICAM A8000 series</t>
  </si>
  <si>
    <t>SICAM A8000 catalogue</t>
  </si>
  <si>
    <t>Catalogue / module overview</t>
  </si>
  <si>
    <t>Siemens SICAM A8000 product page (siemens.com, search 'SICAM A8000')</t>
  </si>
  <si>
    <t>Configured order no.</t>
  </si>
  <si>
    <t>Operator workstation</t>
  </si>
  <si>
    <t>Configured</t>
  </si>
  <si>
    <t>Specification sheet</t>
  </si>
  <si>
    <t>dell.com, product page 'OptiPlex 7000', Specifications</t>
  </si>
  <si>
    <t>dell.com, product page 'Latitude 5430 Rugged', Specifications</t>
  </si>
  <si>
    <t>Core switches</t>
  </si>
  <si>
    <t>Siemens or Moxa</t>
  </si>
  <si>
    <t>SCALANCE XC216-4C (or Moxa EDS-G512E)</t>
  </si>
  <si>
    <t>Per final choice</t>
  </si>
  <si>
    <t>Datasheet; substation rating if any</t>
  </si>
  <si>
    <t>SIOS for SCALANCE; moxa.com product page for Moxa</t>
  </si>
  <si>
    <t>Field and station switches</t>
  </si>
  <si>
    <t>SCALANCE XC208 / XC206-2SFP EEC (or Moxa EDS-510E)</t>
  </si>
  <si>
    <t>Fibre transceivers</t>
  </si>
  <si>
    <t>SCALANCE SFP992-1LD (or Moxa SFP-1GLXLC)</t>
  </si>
  <si>
    <t>Serial gateway for RMU relays</t>
  </si>
  <si>
    <t>Moxa (or Siemens RUGGEDCOM)</t>
  </si>
  <si>
    <t>MGate MB3170 (or RUGGEDCOM RS416 / RMC30)</t>
  </si>
  <si>
    <t>moxa.com product page; or siemens.com RUGGEDCOM pages</t>
  </si>
  <si>
    <t>Firewall and VPN</t>
  </si>
  <si>
    <t>Siemens or Fortinet</t>
  </si>
  <si>
    <t>SCALANCE SC646-2C (or FortiGate Rugged 60F)</t>
  </si>
  <si>
    <t>SIOS for SCALANCE; fortinet.com data sheets library for FortiGate Rugged</t>
  </si>
  <si>
    <t>GPS time server</t>
  </si>
  <si>
    <t>LANTIME M300/GPS</t>
  </si>
  <si>
    <t>meinbergglobal.com, product page LANTIME M300</t>
  </si>
  <si>
    <t>Power</t>
  </si>
  <si>
    <t>Power meters</t>
  </si>
  <si>
    <t>Datasheet; Modbus register list</t>
  </si>
  <si>
    <t>se.com, search 'METSEPM5560', Documents</t>
  </si>
  <si>
    <t>24 V DC power supplies</t>
  </si>
  <si>
    <t>Datasheet; SITOP PSU8200 1-phase manual</t>
  </si>
  <si>
    <t>APC (Schneider Electric)</t>
  </si>
  <si>
    <t>Smart-UPS SRT 3000 VA</t>
  </si>
  <si>
    <t>apc.com or se.com, search 'SRT3000RMXLI'</t>
  </si>
  <si>
    <t>Enclosure</t>
  </si>
  <si>
    <t>SCADA cabinet</t>
  </si>
  <si>
    <t>VX25 800 x 2000 x 800</t>
  </si>
  <si>
    <t>rittal.com, search '8808.000'</t>
  </si>
  <si>
    <t>Outdoor I/O panels</t>
  </si>
  <si>
    <t>AX, size to suit</t>
  </si>
  <si>
    <t>Per size</t>
  </si>
  <si>
    <t>rittal.com, AX compact enclosures</t>
  </si>
  <si>
    <t>PATROL series</t>
  </si>
  <si>
    <t>Per model</t>
  </si>
  <si>
    <t>pfannenberg.com, PATROL series</t>
  </si>
  <si>
    <t>Substation SCADA</t>
  </si>
  <si>
    <t>Per licence quote</t>
  </si>
  <si>
    <t>Product description; system requirements; licensing</t>
  </si>
  <si>
    <t>Siemens SICAM SCC product page; documents via SIOS</t>
  </si>
  <si>
    <t>Product information; system requirements</t>
  </si>
  <si>
    <t>Siemens SICAM A8000 / Device Manager pages; SIOS</t>
  </si>
  <si>
    <t>SINEC NMS (or Moxa MXview One)</t>
  </si>
  <si>
    <t>Product information</t>
  </si>
  <si>
    <t>SIOS for SINEC NMS; moxa.com for MXview One</t>
  </si>
  <si>
    <t>Remote access management</t>
  </si>
  <si>
    <t>SINEMA Remote Connect (or FortiClient)</t>
  </si>
  <si>
    <t>SIOS for SINEMA RC; fortinet.com for FortiClient</t>
  </si>
  <si>
    <t>Operating systems</t>
  </si>
  <si>
    <t>Microsoft</t>
  </si>
  <si>
    <t>Windows Server, Windows 11 Pro</t>
  </si>
  <si>
    <t>Not usually requested; licence certificates at delivery</t>
  </si>
  <si>
    <t>Field device</t>
  </si>
  <si>
    <t>PV inverters</t>
  </si>
  <si>
    <t>Datasheet; communication protocol</t>
  </si>
  <si>
    <t>sungrowpower.com product page; or PV designer</t>
  </si>
  <si>
    <t>Power line communication box</t>
  </si>
  <si>
    <t>Datasheet; Modbus point table</t>
  </si>
  <si>
    <t>PV designer</t>
  </si>
  <si>
    <t>Battery system</t>
  </si>
  <si>
    <t>Battery supplier</t>
  </si>
  <si>
    <t>Generator controllers</t>
  </si>
  <si>
    <t>Generator supplier</t>
  </si>
  <si>
    <t>11 kV protection relays</t>
  </si>
  <si>
    <t>Datasheet; IEC 61850 or Modbus documentation</t>
  </si>
  <si>
    <t>Switchgear supplier</t>
  </si>
  <si>
    <t>RMU relays</t>
  </si>
  <si>
    <t>Datasheet; Modbus map</t>
  </si>
  <si>
    <t>RMU supplier</t>
  </si>
  <si>
    <t>Datasheet; contact schedule</t>
  </si>
  <si>
    <t>Fire system supplier</t>
  </si>
  <si>
    <t>Weather logger</t>
  </si>
  <si>
    <t>blue'Log XM</t>
  </si>
  <si>
    <t>Datasheet; Modbus documentation</t>
  </si>
  <si>
    <t>meteocontrol.com product page</t>
  </si>
  <si>
    <t>kippzonen.com / otthydromet.com product page</t>
  </si>
  <si>
    <t>gillinstruments.com product page</t>
  </si>
  <si>
    <t>Fill the Collected column as each file is saved. Name files '&lt;No.&gt;_&lt;Model&gt;.pdf' so they sort in this order inside the zip.</t>
  </si>
  <si>
    <t>Network items list both Siemens SCALANCE and Moxa/Fortinet; collect only the final choice.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</si>
</sst>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i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CE6F0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/>
    <xf numFmtId="0" fontId="2" fillId="2" borderId="0" xfId="0" applyFont="1" applyFill="1"/>
    <xf numFmtId="0" fontId="3" fillId="2" borderId="0" xfId="0" applyFont="1" applyFill="1" applyAlignment="1">
      <alignment vertical="top" wrapText="1"/>
    </xf>
    <xf numFmtId="0" fontId="2" fillId="3" borderId="0" xfId="0" applyFont="1" applyFill="1"/>
    <xf numFmtId="0" fontId="4" fillId="4" borderId="1" xfId="0" applyFont="1" applyFill="1" applyBorder="1" applyAlignment="1">
      <alignment vertical="center" wrapText="1"/>
    </xf>
    <xf numFmtId="0" fontId="2" fillId="2" borderId="1" xfId="0" applyFont="1" applyFill="1" applyBorder="1"/>
    <xf numFmtId="0" fontId="0" fillId="2" borderId="1" xfId="0" applyFill="1" applyBorder="1"/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5" fillId="0" borderId="0" xfId="0" applyFont="1"/>
    <xf numFmtId="9" fontId="3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9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0"/>
      <rgbColor rgb="FF808080"/>
      <rgbColor rgb="FF9999FF"/>
      <rgbColor rgb="FF993366"/>
      <rgbColor rgb="FFFFF2CC"/>
      <rgbColor rgb="FFDC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zoomScaleNormal="100" workbookViewId="0"/>
  </sheetViews>
  <sheetFormatPr defaultColWidth="8.6640625" defaultRowHeight="14.25" x14ac:dyDescent="0.45"/>
  <cols>
    <col min="1" max="1" width="26" customWidth="1"/>
    <col min="2" max="2" width="100" customWidth="1"/>
  </cols>
  <sheetData>
    <row r="1" spans="1:2" ht="17.649999999999999" x14ac:dyDescent="0.5">
      <c r="A1" s="1" t="s">
        <v>0</v>
      </c>
    </row>
    <row r="3" spans="1:2" ht="25.5" x14ac:dyDescent="0.45">
      <c r="A3" s="2" t="s">
        <v>1</v>
      </c>
      <c r="B3" s="3" t="s">
        <v>2</v>
      </c>
    </row>
    <row r="4" spans="1:2" x14ac:dyDescent="0.45">
      <c r="A4" s="2" t="s">
        <v>3</v>
      </c>
      <c r="B4" s="3" t="s">
        <v>4</v>
      </c>
    </row>
    <row r="5" spans="1:2" ht="25.5" x14ac:dyDescent="0.45">
      <c r="A5" s="2" t="s">
        <v>5</v>
      </c>
      <c r="B5" s="3" t="s">
        <v>6</v>
      </c>
    </row>
    <row r="6" spans="1:2" x14ac:dyDescent="0.45">
      <c r="A6" s="2" t="s">
        <v>7</v>
      </c>
      <c r="B6" s="3" t="s">
        <v>8</v>
      </c>
    </row>
    <row r="7" spans="1:2" x14ac:dyDescent="0.45">
      <c r="A7" s="4"/>
      <c r="B7" s="3"/>
    </row>
    <row r="8" spans="1:2" x14ac:dyDescent="0.45">
      <c r="A8" s="5" t="s">
        <v>9</v>
      </c>
      <c r="B8" s="6"/>
    </row>
    <row r="9" spans="1:2" x14ac:dyDescent="0.45">
      <c r="A9" s="2" t="s">
        <v>10</v>
      </c>
      <c r="B9" s="3" t="s">
        <v>11</v>
      </c>
    </row>
    <row r="10" spans="1:2" x14ac:dyDescent="0.45">
      <c r="A10" s="2" t="s">
        <v>12</v>
      </c>
      <c r="B10" s="3" t="s">
        <v>13</v>
      </c>
    </row>
    <row r="11" spans="1:2" x14ac:dyDescent="0.45">
      <c r="A11" s="2" t="s">
        <v>14</v>
      </c>
      <c r="B11" s="3" t="s">
        <v>15</v>
      </c>
    </row>
    <row r="12" spans="1:2" x14ac:dyDescent="0.45">
      <c r="A12" s="2" t="s">
        <v>16</v>
      </c>
      <c r="B12" s="3" t="s">
        <v>17</v>
      </c>
    </row>
    <row r="13" spans="1:2" x14ac:dyDescent="0.45">
      <c r="A13" s="2" t="s">
        <v>18</v>
      </c>
      <c r="B13" s="3" t="s">
        <v>19</v>
      </c>
    </row>
    <row r="14" spans="1:2" x14ac:dyDescent="0.45">
      <c r="A14" s="2" t="s">
        <v>20</v>
      </c>
      <c r="B14" s="3" t="s">
        <v>21</v>
      </c>
    </row>
    <row r="15" spans="1:2" x14ac:dyDescent="0.45">
      <c r="A15" s="2" t="s">
        <v>22</v>
      </c>
      <c r="B15" s="3" t="s">
        <v>23</v>
      </c>
    </row>
    <row r="16" spans="1:2" x14ac:dyDescent="0.45">
      <c r="A16" s="4"/>
      <c r="B16" s="3"/>
    </row>
    <row r="17" spans="1:2" x14ac:dyDescent="0.45">
      <c r="A17" s="5" t="s">
        <v>24</v>
      </c>
      <c r="B17" s="6"/>
    </row>
    <row r="18" spans="1:2" x14ac:dyDescent="0.45">
      <c r="A18" s="2" t="s">
        <v>25</v>
      </c>
      <c r="B18" s="3" t="s">
        <v>26</v>
      </c>
    </row>
    <row r="19" spans="1:2" x14ac:dyDescent="0.45">
      <c r="A19" s="2" t="s">
        <v>27</v>
      </c>
      <c r="B19" s="3" t="s">
        <v>28</v>
      </c>
    </row>
    <row r="20" spans="1:2" x14ac:dyDescent="0.45">
      <c r="A20" s="2" t="s">
        <v>29</v>
      </c>
      <c r="B20" s="3" t="s">
        <v>30</v>
      </c>
    </row>
    <row r="21" spans="1:2" x14ac:dyDescent="0.45">
      <c r="A21" s="2" t="s">
        <v>31</v>
      </c>
      <c r="B21" s="3" t="s">
        <v>32</v>
      </c>
    </row>
    <row r="22" spans="1:2" ht="25.5" x14ac:dyDescent="0.45">
      <c r="A22" s="7" t="s">
        <v>33</v>
      </c>
      <c r="B22" s="3" t="s">
        <v>34</v>
      </c>
    </row>
    <row r="23" spans="1:2" x14ac:dyDescent="0.45">
      <c r="A23" s="4"/>
      <c r="B23" s="3"/>
    </row>
    <row r="24" spans="1:2" x14ac:dyDescent="0.45">
      <c r="A24" s="5" t="s">
        <v>35</v>
      </c>
      <c r="B24" s="6"/>
    </row>
    <row r="25" spans="1:2" ht="25.5" x14ac:dyDescent="0.45">
      <c r="A25" s="4" t="s">
        <v>36</v>
      </c>
      <c r="B25" s="3" t="s">
        <v>37</v>
      </c>
    </row>
    <row r="26" spans="1:2" x14ac:dyDescent="0.45">
      <c r="A26" s="4" t="s">
        <v>38</v>
      </c>
      <c r="B26" s="3" t="s">
        <v>39</v>
      </c>
    </row>
    <row r="27" spans="1:2" ht="25.5" x14ac:dyDescent="0.45">
      <c r="A27" s="4" t="s">
        <v>40</v>
      </c>
      <c r="B27" s="3" t="s">
        <v>41</v>
      </c>
    </row>
    <row r="28" spans="1:2" ht="25.5" x14ac:dyDescent="0.45">
      <c r="A28" s="4" t="s">
        <v>42</v>
      </c>
      <c r="B28" s="3" t="s">
        <v>43</v>
      </c>
    </row>
    <row r="29" spans="1:2" ht="25.5" x14ac:dyDescent="0.45">
      <c r="A29" s="4" t="s">
        <v>44</v>
      </c>
      <c r="B29" s="3" t="s">
        <v>45</v>
      </c>
    </row>
    <row r="30" spans="1:2" x14ac:dyDescent="0.45">
      <c r="A30" s="4" t="s">
        <v>46</v>
      </c>
      <c r="B30" s="3" t="s">
        <v>47</v>
      </c>
    </row>
    <row r="31" spans="1:2" ht="38.25" x14ac:dyDescent="0.45">
      <c r="A31" s="4" t="s">
        <v>48</v>
      </c>
      <c r="B31" s="3" t="s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4"/>
  <sheetViews>
    <sheetView tabSelected="1" zoomScaleNormal="100" workbookViewId="0">
      <pane xSplit="3" ySplit="1" topLeftCell="D29" activePane="bottomRight" state="frozen"/>
      <selection pane="topRight" activeCell="D1" sqref="D1"/>
      <selection pane="bottomLeft" activeCell="A2" sqref="A2"/>
      <selection pane="bottomRight" activeCell="F33" sqref="F33"/>
    </sheetView>
  </sheetViews>
  <sheetFormatPr defaultColWidth="8.6640625" defaultRowHeight="14.25" x14ac:dyDescent="0.45"/>
  <cols>
    <col min="1" max="1" width="7" customWidth="1"/>
    <col min="2" max="2" width="16" customWidth="1"/>
    <col min="3" max="3" width="32" customWidth="1"/>
    <col min="4" max="4" width="18" customWidth="1"/>
    <col min="5" max="6" width="22" customWidth="1"/>
    <col min="7" max="7" width="18" customWidth="1"/>
    <col min="8" max="8" width="6" customWidth="1"/>
    <col min="9" max="9" width="20" customWidth="1"/>
    <col min="10" max="10" width="24" customWidth="1"/>
    <col min="11" max="11" width="32" customWidth="1"/>
    <col min="12" max="12" width="18" customWidth="1"/>
    <col min="13" max="13" width="12" customWidth="1"/>
    <col min="14" max="14" width="46" customWidth="1"/>
  </cols>
  <sheetData>
    <row r="1" spans="1:14" ht="30" customHeight="1" x14ac:dyDescent="0.45">
      <c r="A1" s="8" t="s">
        <v>50</v>
      </c>
      <c r="B1" s="8" t="s">
        <v>51</v>
      </c>
      <c r="C1" s="8" t="s">
        <v>52</v>
      </c>
      <c r="D1" s="8" t="s">
        <v>53</v>
      </c>
      <c r="E1" s="8" t="s">
        <v>54</v>
      </c>
      <c r="F1" s="8" t="s">
        <v>55</v>
      </c>
      <c r="G1" s="8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</row>
    <row r="2" spans="1:14" x14ac:dyDescent="0.45">
      <c r="A2" s="9" t="s">
        <v>64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5.5" x14ac:dyDescent="0.45">
      <c r="A3" s="11" t="s">
        <v>65</v>
      </c>
      <c r="B3" s="11" t="s">
        <v>66</v>
      </c>
      <c r="C3" s="11" t="s">
        <v>67</v>
      </c>
      <c r="D3" s="11" t="s">
        <v>68</v>
      </c>
      <c r="E3" s="11" t="s">
        <v>69</v>
      </c>
      <c r="F3" s="11" t="s">
        <v>70</v>
      </c>
      <c r="G3" s="11" t="s">
        <v>31</v>
      </c>
      <c r="H3" s="11">
        <v>4</v>
      </c>
      <c r="I3" s="11" t="s">
        <v>71</v>
      </c>
      <c r="J3" s="11" t="s">
        <v>72</v>
      </c>
      <c r="K3" s="11" t="s">
        <v>73</v>
      </c>
      <c r="L3" s="11" t="s">
        <v>74</v>
      </c>
      <c r="M3" s="11" t="s">
        <v>70</v>
      </c>
      <c r="N3" s="11" t="s">
        <v>75</v>
      </c>
    </row>
    <row r="4" spans="1:14" ht="25.5" x14ac:dyDescent="0.45">
      <c r="A4" s="11" t="s">
        <v>76</v>
      </c>
      <c r="B4" s="11" t="s">
        <v>66</v>
      </c>
      <c r="C4" s="11" t="s">
        <v>77</v>
      </c>
      <c r="D4" s="11" t="s">
        <v>68</v>
      </c>
      <c r="E4" s="12" t="s">
        <v>33</v>
      </c>
      <c r="F4" s="12" t="s">
        <v>33</v>
      </c>
      <c r="G4" s="12" t="s">
        <v>33</v>
      </c>
      <c r="H4" s="11">
        <v>1</v>
      </c>
      <c r="I4" s="11" t="s">
        <v>78</v>
      </c>
      <c r="J4" s="11" t="s">
        <v>79</v>
      </c>
      <c r="K4" s="11" t="s">
        <v>80</v>
      </c>
      <c r="L4" s="11" t="s">
        <v>81</v>
      </c>
      <c r="M4" s="11" t="s">
        <v>70</v>
      </c>
      <c r="N4" s="11" t="s">
        <v>82</v>
      </c>
    </row>
    <row r="5" spans="1:14" ht="25.5" x14ac:dyDescent="0.45">
      <c r="A5" s="11" t="s">
        <v>83</v>
      </c>
      <c r="B5" s="11" t="s">
        <v>66</v>
      </c>
      <c r="C5" s="11" t="s">
        <v>84</v>
      </c>
      <c r="D5" s="12" t="s">
        <v>33</v>
      </c>
      <c r="E5" s="12" t="s">
        <v>33</v>
      </c>
      <c r="F5" s="12" t="s">
        <v>33</v>
      </c>
      <c r="G5" s="12" t="s">
        <v>33</v>
      </c>
      <c r="H5" s="11">
        <v>1</v>
      </c>
      <c r="I5" s="11" t="s">
        <v>85</v>
      </c>
      <c r="J5" s="11" t="s">
        <v>79</v>
      </c>
      <c r="K5" s="11" t="s">
        <v>80</v>
      </c>
      <c r="L5" s="11" t="s">
        <v>81</v>
      </c>
      <c r="M5" s="11" t="s">
        <v>70</v>
      </c>
      <c r="N5" s="11" t="s">
        <v>86</v>
      </c>
    </row>
    <row r="6" spans="1:14" ht="25.5" x14ac:dyDescent="0.45">
      <c r="A6" s="11" t="s">
        <v>87</v>
      </c>
      <c r="B6" s="11" t="s">
        <v>66</v>
      </c>
      <c r="C6" s="11" t="s">
        <v>88</v>
      </c>
      <c r="D6" s="11" t="s">
        <v>68</v>
      </c>
      <c r="E6" s="11" t="s">
        <v>89</v>
      </c>
      <c r="F6" s="11" t="s">
        <v>70</v>
      </c>
      <c r="G6" s="11" t="s">
        <v>31</v>
      </c>
      <c r="H6" s="11">
        <v>1</v>
      </c>
      <c r="I6" s="11" t="s">
        <v>90</v>
      </c>
      <c r="J6" s="11" t="s">
        <v>91</v>
      </c>
      <c r="K6" s="11" t="s">
        <v>92</v>
      </c>
      <c r="L6" s="11" t="s">
        <v>81</v>
      </c>
      <c r="M6" s="11" t="s">
        <v>70</v>
      </c>
      <c r="N6" s="11" t="s">
        <v>93</v>
      </c>
    </row>
    <row r="7" spans="1:14" ht="25.5" x14ac:dyDescent="0.45">
      <c r="A7" s="11" t="s">
        <v>94</v>
      </c>
      <c r="B7" s="11" t="s">
        <v>66</v>
      </c>
      <c r="C7" s="11" t="s">
        <v>95</v>
      </c>
      <c r="D7" s="12" t="s">
        <v>33</v>
      </c>
      <c r="E7" s="12" t="s">
        <v>33</v>
      </c>
      <c r="F7" s="12" t="s">
        <v>33</v>
      </c>
      <c r="G7" s="12" t="s">
        <v>33</v>
      </c>
      <c r="H7" s="11">
        <v>2</v>
      </c>
      <c r="I7" s="11" t="s">
        <v>96</v>
      </c>
      <c r="J7" s="11" t="s">
        <v>97</v>
      </c>
      <c r="K7" s="11" t="s">
        <v>98</v>
      </c>
      <c r="L7" s="11" t="s">
        <v>81</v>
      </c>
      <c r="M7" s="11" t="s">
        <v>99</v>
      </c>
      <c r="N7" s="11" t="s">
        <v>100</v>
      </c>
    </row>
    <row r="8" spans="1:14" ht="25.5" x14ac:dyDescent="0.45">
      <c r="A8" s="11" t="s">
        <v>101</v>
      </c>
      <c r="B8" s="11" t="s">
        <v>66</v>
      </c>
      <c r="C8" s="11" t="s">
        <v>102</v>
      </c>
      <c r="D8" s="12" t="s">
        <v>103</v>
      </c>
      <c r="E8" s="12" t="s">
        <v>33</v>
      </c>
      <c r="F8" s="12" t="s">
        <v>33</v>
      </c>
      <c r="G8" s="12" t="s">
        <v>33</v>
      </c>
      <c r="H8" s="11">
        <v>7</v>
      </c>
      <c r="I8" s="11" t="s">
        <v>104</v>
      </c>
      <c r="J8" s="11" t="s">
        <v>105</v>
      </c>
      <c r="K8" s="11" t="s">
        <v>106</v>
      </c>
      <c r="L8" s="11" t="s">
        <v>107</v>
      </c>
      <c r="M8" s="11" t="s">
        <v>108</v>
      </c>
      <c r="N8" s="11" t="s">
        <v>109</v>
      </c>
    </row>
    <row r="9" spans="1:14" ht="25.5" x14ac:dyDescent="0.45">
      <c r="A9" s="11" t="s">
        <v>110</v>
      </c>
      <c r="B9" s="11" t="s">
        <v>66</v>
      </c>
      <c r="C9" s="11" t="s">
        <v>111</v>
      </c>
      <c r="D9" s="12" t="s">
        <v>103</v>
      </c>
      <c r="E9" s="11" t="s">
        <v>70</v>
      </c>
      <c r="F9" s="11" t="s">
        <v>70</v>
      </c>
      <c r="G9" s="12" t="s">
        <v>33</v>
      </c>
      <c r="H9" s="11">
        <v>1</v>
      </c>
      <c r="I9" s="11" t="s">
        <v>104</v>
      </c>
      <c r="J9" s="11" t="s">
        <v>112</v>
      </c>
      <c r="K9" s="11" t="s">
        <v>113</v>
      </c>
      <c r="L9" s="11" t="s">
        <v>113</v>
      </c>
      <c r="M9" s="11" t="s">
        <v>108</v>
      </c>
      <c r="N9" s="11"/>
    </row>
    <row r="10" spans="1:14" ht="25.5" x14ac:dyDescent="0.45">
      <c r="A10" s="11" t="s">
        <v>114</v>
      </c>
      <c r="B10" s="11" t="s">
        <v>66</v>
      </c>
      <c r="C10" s="11" t="s">
        <v>115</v>
      </c>
      <c r="D10" s="11" t="s">
        <v>116</v>
      </c>
      <c r="E10" s="11" t="s">
        <v>117</v>
      </c>
      <c r="F10" s="11" t="s">
        <v>70</v>
      </c>
      <c r="G10" s="11" t="s">
        <v>31</v>
      </c>
      <c r="H10" s="11">
        <v>2</v>
      </c>
      <c r="I10" s="11" t="s">
        <v>118</v>
      </c>
      <c r="J10" s="11" t="s">
        <v>119</v>
      </c>
      <c r="K10" s="11" t="s">
        <v>120</v>
      </c>
      <c r="L10" s="11" t="s">
        <v>121</v>
      </c>
      <c r="M10" s="11" t="s">
        <v>122</v>
      </c>
      <c r="N10" s="11" t="s">
        <v>123</v>
      </c>
    </row>
    <row r="11" spans="1:14" ht="25.5" x14ac:dyDescent="0.45">
      <c r="A11" s="11" t="s">
        <v>124</v>
      </c>
      <c r="B11" s="11" t="s">
        <v>66</v>
      </c>
      <c r="C11" s="11" t="s">
        <v>125</v>
      </c>
      <c r="D11" s="12" t="s">
        <v>33</v>
      </c>
      <c r="E11" s="11" t="s">
        <v>70</v>
      </c>
      <c r="F11" s="11" t="s">
        <v>70</v>
      </c>
      <c r="G11" s="12" t="s">
        <v>33</v>
      </c>
      <c r="H11" s="11">
        <v>3</v>
      </c>
      <c r="I11" s="11" t="s">
        <v>126</v>
      </c>
      <c r="J11" s="11" t="s">
        <v>112</v>
      </c>
      <c r="K11" s="11" t="s">
        <v>113</v>
      </c>
      <c r="L11" s="11" t="s">
        <v>113</v>
      </c>
      <c r="M11" s="11" t="s">
        <v>127</v>
      </c>
      <c r="N11" s="11" t="s">
        <v>128</v>
      </c>
    </row>
    <row r="12" spans="1:14" ht="25.5" x14ac:dyDescent="0.45">
      <c r="A12" s="11" t="s">
        <v>129</v>
      </c>
      <c r="B12" s="11" t="s">
        <v>66</v>
      </c>
      <c r="C12" s="11" t="s">
        <v>130</v>
      </c>
      <c r="D12" s="12" t="s">
        <v>33</v>
      </c>
      <c r="E12" s="11" t="s">
        <v>70</v>
      </c>
      <c r="F12" s="11" t="s">
        <v>70</v>
      </c>
      <c r="G12" s="12" t="s">
        <v>33</v>
      </c>
      <c r="H12" s="11">
        <v>2</v>
      </c>
      <c r="I12" s="11" t="s">
        <v>131</v>
      </c>
      <c r="J12" s="11" t="s">
        <v>112</v>
      </c>
      <c r="K12" s="11" t="s">
        <v>113</v>
      </c>
      <c r="L12" s="11" t="s">
        <v>113</v>
      </c>
      <c r="M12" s="11" t="s">
        <v>122</v>
      </c>
      <c r="N12" s="11"/>
    </row>
    <row r="13" spans="1:14" ht="25.5" x14ac:dyDescent="0.45">
      <c r="A13" s="11" t="s">
        <v>132</v>
      </c>
      <c r="B13" s="11" t="s">
        <v>66</v>
      </c>
      <c r="C13" s="11" t="s">
        <v>133</v>
      </c>
      <c r="D13" s="12" t="s">
        <v>33</v>
      </c>
      <c r="E13" s="11" t="s">
        <v>70</v>
      </c>
      <c r="F13" s="11" t="s">
        <v>70</v>
      </c>
      <c r="G13" s="12" t="s">
        <v>33</v>
      </c>
      <c r="H13" s="11">
        <v>2</v>
      </c>
      <c r="I13" s="11" t="s">
        <v>131</v>
      </c>
      <c r="J13" s="11" t="s">
        <v>134</v>
      </c>
      <c r="K13" s="11" t="s">
        <v>135</v>
      </c>
      <c r="L13" s="11" t="s">
        <v>113</v>
      </c>
      <c r="M13" s="11" t="s">
        <v>122</v>
      </c>
      <c r="N13" s="11"/>
    </row>
    <row r="14" spans="1:14" ht="25.5" x14ac:dyDescent="0.45">
      <c r="A14" s="11" t="s">
        <v>136</v>
      </c>
      <c r="B14" s="11" t="s">
        <v>66</v>
      </c>
      <c r="C14" s="11" t="s">
        <v>137</v>
      </c>
      <c r="D14" s="12" t="s">
        <v>33</v>
      </c>
      <c r="E14" s="12" t="s">
        <v>33</v>
      </c>
      <c r="F14" s="12" t="s">
        <v>33</v>
      </c>
      <c r="G14" s="12" t="s">
        <v>33</v>
      </c>
      <c r="H14" s="11">
        <v>1</v>
      </c>
      <c r="I14" s="11" t="s">
        <v>90</v>
      </c>
      <c r="J14" s="11" t="s">
        <v>112</v>
      </c>
      <c r="K14" s="11" t="s">
        <v>113</v>
      </c>
      <c r="L14" s="11" t="s">
        <v>113</v>
      </c>
      <c r="M14" s="11" t="s">
        <v>138</v>
      </c>
      <c r="N14" s="11" t="s">
        <v>139</v>
      </c>
    </row>
    <row r="15" spans="1:14" x14ac:dyDescent="0.45">
      <c r="A15" s="11" t="s">
        <v>140</v>
      </c>
      <c r="B15" s="11" t="s">
        <v>66</v>
      </c>
      <c r="C15" s="11" t="s">
        <v>141</v>
      </c>
      <c r="D15" s="12" t="s">
        <v>33</v>
      </c>
      <c r="E15" s="12" t="s">
        <v>33</v>
      </c>
      <c r="F15" s="12" t="s">
        <v>33</v>
      </c>
      <c r="G15" s="12" t="s">
        <v>33</v>
      </c>
      <c r="H15" s="11">
        <v>1</v>
      </c>
      <c r="I15" s="11" t="s">
        <v>104</v>
      </c>
      <c r="J15" s="11" t="s">
        <v>142</v>
      </c>
      <c r="K15" s="11" t="s">
        <v>143</v>
      </c>
      <c r="L15" s="11" t="s">
        <v>81</v>
      </c>
      <c r="M15" s="11" t="s">
        <v>144</v>
      </c>
      <c r="N15" s="11"/>
    </row>
    <row r="16" spans="1:14" ht="25.5" x14ac:dyDescent="0.45">
      <c r="A16" s="11" t="s">
        <v>145</v>
      </c>
      <c r="B16" s="11" t="s">
        <v>66</v>
      </c>
      <c r="C16" s="11" t="s">
        <v>146</v>
      </c>
      <c r="D16" s="11" t="s">
        <v>147</v>
      </c>
      <c r="E16" s="11" t="s">
        <v>148</v>
      </c>
      <c r="F16" s="11" t="s">
        <v>70</v>
      </c>
      <c r="G16" s="11" t="s">
        <v>31</v>
      </c>
      <c r="H16" s="11">
        <v>1</v>
      </c>
      <c r="I16" s="11" t="s">
        <v>78</v>
      </c>
      <c r="J16" s="11" t="s">
        <v>79</v>
      </c>
      <c r="K16" s="11" t="s">
        <v>81</v>
      </c>
      <c r="L16" s="11" t="s">
        <v>81</v>
      </c>
      <c r="M16" s="11" t="s">
        <v>70</v>
      </c>
      <c r="N16" s="11" t="s">
        <v>149</v>
      </c>
    </row>
    <row r="17" spans="1:14" x14ac:dyDescent="0.45">
      <c r="A17" s="11" t="s">
        <v>150</v>
      </c>
      <c r="B17" s="11" t="s">
        <v>66</v>
      </c>
      <c r="C17" s="11" t="s">
        <v>151</v>
      </c>
      <c r="D17" s="11" t="s">
        <v>152</v>
      </c>
      <c r="E17" s="11" t="s">
        <v>153</v>
      </c>
      <c r="F17" s="11" t="s">
        <v>70</v>
      </c>
      <c r="G17" s="11" t="s">
        <v>31</v>
      </c>
      <c r="H17" s="11">
        <v>1</v>
      </c>
      <c r="I17" s="11" t="s">
        <v>154</v>
      </c>
      <c r="J17" s="11" t="s">
        <v>155</v>
      </c>
      <c r="K17" s="11" t="s">
        <v>156</v>
      </c>
      <c r="L17" s="11" t="s">
        <v>157</v>
      </c>
      <c r="M17" s="11" t="s">
        <v>70</v>
      </c>
      <c r="N17" s="11"/>
    </row>
    <row r="18" spans="1:14" x14ac:dyDescent="0.45">
      <c r="A18" s="11" t="s">
        <v>158</v>
      </c>
      <c r="B18" s="11" t="s">
        <v>66</v>
      </c>
      <c r="C18" s="11" t="s">
        <v>159</v>
      </c>
      <c r="D18" s="11" t="s">
        <v>160</v>
      </c>
      <c r="E18" s="11" t="s">
        <v>161</v>
      </c>
      <c r="F18" s="11" t="s">
        <v>70</v>
      </c>
      <c r="G18" s="11" t="s">
        <v>31</v>
      </c>
      <c r="H18" s="11">
        <v>1</v>
      </c>
      <c r="I18" s="11" t="s">
        <v>154</v>
      </c>
      <c r="J18" s="11" t="s">
        <v>155</v>
      </c>
      <c r="K18" s="11" t="s">
        <v>156</v>
      </c>
      <c r="L18" s="11" t="s">
        <v>157</v>
      </c>
      <c r="M18" s="11" t="s">
        <v>70</v>
      </c>
      <c r="N18" s="11"/>
    </row>
    <row r="19" spans="1:14" ht="25.5" x14ac:dyDescent="0.45">
      <c r="A19" s="11" t="s">
        <v>162</v>
      </c>
      <c r="B19" s="11" t="s">
        <v>66</v>
      </c>
      <c r="C19" s="11" t="s">
        <v>163</v>
      </c>
      <c r="D19" s="12" t="s">
        <v>33</v>
      </c>
      <c r="E19" s="11" t="s">
        <v>70</v>
      </c>
      <c r="F19" s="11" t="s">
        <v>70</v>
      </c>
      <c r="G19" s="11" t="s">
        <v>31</v>
      </c>
      <c r="H19" s="11">
        <v>2</v>
      </c>
      <c r="I19" s="11" t="s">
        <v>164</v>
      </c>
      <c r="J19" s="11" t="s">
        <v>165</v>
      </c>
      <c r="K19" s="11" t="s">
        <v>156</v>
      </c>
      <c r="L19" s="11" t="s">
        <v>157</v>
      </c>
      <c r="M19" s="11" t="s">
        <v>70</v>
      </c>
      <c r="N19" s="11"/>
    </row>
    <row r="20" spans="1:14" x14ac:dyDescent="0.45">
      <c r="A20" s="9" t="s">
        <v>166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 x14ac:dyDescent="0.45">
      <c r="A21" s="11" t="s">
        <v>167</v>
      </c>
      <c r="B21" s="11" t="s">
        <v>5</v>
      </c>
      <c r="C21" s="11" t="s">
        <v>168</v>
      </c>
      <c r="D21" s="11" t="s">
        <v>169</v>
      </c>
      <c r="E21" s="11" t="s">
        <v>170</v>
      </c>
      <c r="F21" s="11" t="s">
        <v>171</v>
      </c>
      <c r="G21" s="11" t="s">
        <v>25</v>
      </c>
      <c r="H21" s="11">
        <v>1</v>
      </c>
      <c r="I21" s="11" t="s">
        <v>104</v>
      </c>
      <c r="J21" s="11" t="s">
        <v>172</v>
      </c>
      <c r="K21" s="11" t="s">
        <v>173</v>
      </c>
      <c r="L21" s="11" t="s">
        <v>174</v>
      </c>
      <c r="M21" s="11" t="s">
        <v>70</v>
      </c>
      <c r="N21" s="11" t="s">
        <v>175</v>
      </c>
    </row>
    <row r="22" spans="1:14" ht="25.5" x14ac:dyDescent="0.45">
      <c r="A22" s="11" t="s">
        <v>176</v>
      </c>
      <c r="B22" s="11" t="s">
        <v>5</v>
      </c>
      <c r="C22" s="11" t="s">
        <v>177</v>
      </c>
      <c r="D22" s="11" t="s">
        <v>169</v>
      </c>
      <c r="E22" s="11" t="s">
        <v>178</v>
      </c>
      <c r="F22" s="11" t="s">
        <v>179</v>
      </c>
      <c r="G22" s="11" t="s">
        <v>25</v>
      </c>
      <c r="H22" s="11">
        <v>2</v>
      </c>
      <c r="I22" s="11" t="s">
        <v>104</v>
      </c>
      <c r="J22" s="11" t="s">
        <v>70</v>
      </c>
      <c r="K22" s="11" t="s">
        <v>70</v>
      </c>
      <c r="L22" s="11" t="s">
        <v>180</v>
      </c>
      <c r="M22" s="11" t="s">
        <v>70</v>
      </c>
      <c r="N22" s="11" t="s">
        <v>181</v>
      </c>
    </row>
    <row r="23" spans="1:14" x14ac:dyDescent="0.45">
      <c r="A23" s="11" t="s">
        <v>182</v>
      </c>
      <c r="B23" s="11" t="s">
        <v>5</v>
      </c>
      <c r="C23" s="11" t="s">
        <v>183</v>
      </c>
      <c r="D23" s="11" t="s">
        <v>169</v>
      </c>
      <c r="E23" s="11" t="s">
        <v>184</v>
      </c>
      <c r="F23" s="11" t="s">
        <v>185</v>
      </c>
      <c r="G23" s="11" t="s">
        <v>25</v>
      </c>
      <c r="H23" s="11">
        <v>1</v>
      </c>
      <c r="I23" s="11" t="s">
        <v>104</v>
      </c>
      <c r="J23" s="11" t="s">
        <v>186</v>
      </c>
      <c r="K23" s="11" t="s">
        <v>187</v>
      </c>
      <c r="L23" s="11" t="s">
        <v>180</v>
      </c>
      <c r="M23" s="11" t="s">
        <v>70</v>
      </c>
      <c r="N23" s="11" t="s">
        <v>188</v>
      </c>
    </row>
    <row r="24" spans="1:14" x14ac:dyDescent="0.45">
      <c r="A24" s="11" t="s">
        <v>189</v>
      </c>
      <c r="B24" s="11" t="s">
        <v>5</v>
      </c>
      <c r="C24" s="11" t="s">
        <v>190</v>
      </c>
      <c r="D24" s="11" t="s">
        <v>169</v>
      </c>
      <c r="E24" s="11" t="s">
        <v>191</v>
      </c>
      <c r="F24" s="11" t="s">
        <v>192</v>
      </c>
      <c r="G24" s="11" t="s">
        <v>25</v>
      </c>
      <c r="H24" s="11">
        <v>1</v>
      </c>
      <c r="I24" s="11" t="s">
        <v>104</v>
      </c>
      <c r="J24" s="11" t="s">
        <v>70</v>
      </c>
      <c r="K24" s="11" t="s">
        <v>70</v>
      </c>
      <c r="L24" s="11" t="s">
        <v>180</v>
      </c>
      <c r="M24" s="11" t="s">
        <v>70</v>
      </c>
      <c r="N24" s="11"/>
    </row>
    <row r="25" spans="1:14" ht="38.25" x14ac:dyDescent="0.45">
      <c r="A25" s="11" t="s">
        <v>193</v>
      </c>
      <c r="B25" s="11" t="s">
        <v>194</v>
      </c>
      <c r="C25" s="11" t="s">
        <v>195</v>
      </c>
      <c r="D25" s="11" t="s">
        <v>169</v>
      </c>
      <c r="E25" s="11" t="s">
        <v>196</v>
      </c>
      <c r="F25" s="11" t="s">
        <v>197</v>
      </c>
      <c r="G25" s="11" t="s">
        <v>25</v>
      </c>
      <c r="H25" s="11">
        <v>17</v>
      </c>
      <c r="I25" s="11" t="s">
        <v>198</v>
      </c>
      <c r="J25" s="11" t="s">
        <v>199</v>
      </c>
      <c r="K25" s="11" t="s">
        <v>200</v>
      </c>
      <c r="L25" s="11" t="s">
        <v>200</v>
      </c>
      <c r="M25" s="11" t="s">
        <v>201</v>
      </c>
      <c r="N25" s="11" t="s">
        <v>202</v>
      </c>
    </row>
    <row r="26" spans="1:14" ht="25.5" x14ac:dyDescent="0.45">
      <c r="A26" s="11" t="s">
        <v>203</v>
      </c>
      <c r="B26" s="11" t="s">
        <v>194</v>
      </c>
      <c r="C26" s="11" t="s">
        <v>204</v>
      </c>
      <c r="D26" s="11" t="s">
        <v>169</v>
      </c>
      <c r="E26" s="11" t="s">
        <v>205</v>
      </c>
      <c r="F26" s="12" t="s">
        <v>206</v>
      </c>
      <c r="G26" s="12" t="s">
        <v>29</v>
      </c>
      <c r="H26" s="11">
        <v>4</v>
      </c>
      <c r="I26" s="11" t="s">
        <v>207</v>
      </c>
      <c r="J26" s="11" t="s">
        <v>199</v>
      </c>
      <c r="K26" s="11" t="s">
        <v>200</v>
      </c>
      <c r="L26" s="11" t="s">
        <v>200</v>
      </c>
      <c r="M26" s="11" t="s">
        <v>207</v>
      </c>
      <c r="N26" s="11" t="s">
        <v>208</v>
      </c>
    </row>
    <row r="27" spans="1:14" ht="25.5" x14ac:dyDescent="0.45">
      <c r="A27" s="11" t="s">
        <v>209</v>
      </c>
      <c r="B27" s="11" t="s">
        <v>194</v>
      </c>
      <c r="C27" s="11" t="s">
        <v>210</v>
      </c>
      <c r="D27" s="11" t="s">
        <v>169</v>
      </c>
      <c r="E27" s="11" t="s">
        <v>211</v>
      </c>
      <c r="F27" s="11" t="s">
        <v>212</v>
      </c>
      <c r="G27" s="11" t="s">
        <v>25</v>
      </c>
      <c r="H27" s="11">
        <v>1</v>
      </c>
      <c r="I27" s="11" t="s">
        <v>108</v>
      </c>
      <c r="J27" s="11" t="s">
        <v>199</v>
      </c>
      <c r="K27" s="11" t="s">
        <v>200</v>
      </c>
      <c r="L27" s="11" t="s">
        <v>200</v>
      </c>
      <c r="M27" s="11" t="s">
        <v>108</v>
      </c>
      <c r="N27" s="11" t="s">
        <v>213</v>
      </c>
    </row>
    <row r="28" spans="1:14" ht="25.5" x14ac:dyDescent="0.45">
      <c r="A28" s="11" t="s">
        <v>214</v>
      </c>
      <c r="B28" s="11" t="s">
        <v>194</v>
      </c>
      <c r="C28" s="11" t="s">
        <v>215</v>
      </c>
      <c r="D28" s="11" t="s">
        <v>169</v>
      </c>
      <c r="E28" s="11" t="s">
        <v>216</v>
      </c>
      <c r="F28" s="11" t="s">
        <v>217</v>
      </c>
      <c r="G28" s="11" t="s">
        <v>25</v>
      </c>
      <c r="H28" s="11">
        <v>2</v>
      </c>
      <c r="I28" s="11" t="s">
        <v>218</v>
      </c>
      <c r="J28" s="11" t="s">
        <v>199</v>
      </c>
      <c r="K28" s="11" t="s">
        <v>200</v>
      </c>
      <c r="L28" s="11" t="s">
        <v>200</v>
      </c>
      <c r="M28" s="11" t="s">
        <v>218</v>
      </c>
      <c r="N28" s="11" t="s">
        <v>219</v>
      </c>
    </row>
    <row r="29" spans="1:14" ht="25.5" x14ac:dyDescent="0.45">
      <c r="A29" s="11" t="s">
        <v>220</v>
      </c>
      <c r="B29" s="11" t="s">
        <v>194</v>
      </c>
      <c r="C29" s="11" t="s">
        <v>221</v>
      </c>
      <c r="D29" s="11" t="s">
        <v>169</v>
      </c>
      <c r="E29" s="11" t="s">
        <v>222</v>
      </c>
      <c r="F29" s="11" t="s">
        <v>223</v>
      </c>
      <c r="G29" s="11" t="s">
        <v>25</v>
      </c>
      <c r="H29" s="11">
        <v>1</v>
      </c>
      <c r="I29" s="11" t="s">
        <v>144</v>
      </c>
      <c r="J29" s="11" t="s">
        <v>224</v>
      </c>
      <c r="K29" s="11" t="s">
        <v>200</v>
      </c>
      <c r="L29" s="11" t="s">
        <v>200</v>
      </c>
      <c r="M29" s="11" t="s">
        <v>144</v>
      </c>
      <c r="N29" s="11" t="s">
        <v>225</v>
      </c>
    </row>
    <row r="30" spans="1:14" ht="51" x14ac:dyDescent="0.45">
      <c r="A30" s="11" t="s">
        <v>226</v>
      </c>
      <c r="B30" s="11" t="s">
        <v>194</v>
      </c>
      <c r="C30" s="11" t="s">
        <v>227</v>
      </c>
      <c r="D30" s="11" t="s">
        <v>169</v>
      </c>
      <c r="E30" s="11" t="s">
        <v>228</v>
      </c>
      <c r="F30" s="12" t="s">
        <v>206</v>
      </c>
      <c r="G30" s="12" t="s">
        <v>29</v>
      </c>
      <c r="H30" s="11">
        <v>4</v>
      </c>
      <c r="I30" s="11" t="s">
        <v>229</v>
      </c>
      <c r="J30" s="11" t="s">
        <v>230</v>
      </c>
      <c r="K30" s="11" t="s">
        <v>231</v>
      </c>
      <c r="L30" s="11" t="s">
        <v>200</v>
      </c>
      <c r="M30" s="11" t="s">
        <v>232</v>
      </c>
      <c r="N30" s="11" t="s">
        <v>233</v>
      </c>
    </row>
    <row r="31" spans="1:14" ht="25.5" x14ac:dyDescent="0.45">
      <c r="A31" s="11" t="s">
        <v>234</v>
      </c>
      <c r="B31" s="11" t="s">
        <v>194</v>
      </c>
      <c r="C31" s="11" t="s">
        <v>235</v>
      </c>
      <c r="D31" s="11" t="s">
        <v>169</v>
      </c>
      <c r="E31" s="11" t="s">
        <v>236</v>
      </c>
      <c r="F31" s="11" t="s">
        <v>237</v>
      </c>
      <c r="G31" s="12" t="s">
        <v>29</v>
      </c>
      <c r="H31" s="11">
        <v>1</v>
      </c>
      <c r="I31" s="11" t="s">
        <v>70</v>
      </c>
      <c r="J31" s="11" t="s">
        <v>70</v>
      </c>
      <c r="K31" s="11" t="s">
        <v>70</v>
      </c>
      <c r="L31" s="11" t="s">
        <v>180</v>
      </c>
      <c r="M31" s="11" t="s">
        <v>70</v>
      </c>
      <c r="N31" s="11"/>
    </row>
    <row r="32" spans="1:14" x14ac:dyDescent="0.45">
      <c r="A32" s="9" t="s">
        <v>238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25.5" x14ac:dyDescent="0.45">
      <c r="A33" s="11" t="s">
        <v>239</v>
      </c>
      <c r="B33" s="11" t="s">
        <v>240</v>
      </c>
      <c r="C33" s="11" t="s">
        <v>241</v>
      </c>
      <c r="D33" s="11" t="s">
        <v>242</v>
      </c>
      <c r="E33" s="11" t="s">
        <v>243</v>
      </c>
      <c r="F33" s="11" t="s">
        <v>244</v>
      </c>
      <c r="G33" s="11" t="s">
        <v>27</v>
      </c>
      <c r="H33" s="11">
        <v>2</v>
      </c>
      <c r="I33" s="11" t="s">
        <v>104</v>
      </c>
      <c r="J33" s="11" t="s">
        <v>245</v>
      </c>
      <c r="K33" s="11" t="s">
        <v>246</v>
      </c>
      <c r="L33" s="11" t="s">
        <v>180</v>
      </c>
      <c r="M33" s="11" t="s">
        <v>70</v>
      </c>
      <c r="N33" s="11" t="s">
        <v>247</v>
      </c>
    </row>
    <row r="34" spans="1:14" ht="38.25" x14ac:dyDescent="0.45">
      <c r="A34" s="11" t="s">
        <v>248</v>
      </c>
      <c r="B34" s="11" t="s">
        <v>240</v>
      </c>
      <c r="C34" s="11" t="s">
        <v>249</v>
      </c>
      <c r="D34" s="11" t="s">
        <v>242</v>
      </c>
      <c r="E34" s="11" t="s">
        <v>250</v>
      </c>
      <c r="F34" s="11" t="s">
        <v>251</v>
      </c>
      <c r="G34" s="11" t="s">
        <v>27</v>
      </c>
      <c r="H34" s="11">
        <v>5</v>
      </c>
      <c r="I34" s="11" t="s">
        <v>252</v>
      </c>
      <c r="J34" s="11" t="s">
        <v>245</v>
      </c>
      <c r="K34" s="11" t="s">
        <v>253</v>
      </c>
      <c r="L34" s="11" t="s">
        <v>180</v>
      </c>
      <c r="M34" s="11" t="s">
        <v>70</v>
      </c>
      <c r="N34" s="11" t="s">
        <v>254</v>
      </c>
    </row>
    <row r="35" spans="1:14" ht="25.5" x14ac:dyDescent="0.45">
      <c r="A35" s="11" t="s">
        <v>255</v>
      </c>
      <c r="B35" s="11" t="s">
        <v>240</v>
      </c>
      <c r="C35" s="11" t="s">
        <v>256</v>
      </c>
      <c r="D35" s="11" t="s">
        <v>242</v>
      </c>
      <c r="E35" s="11" t="s">
        <v>257</v>
      </c>
      <c r="F35" s="11" t="s">
        <v>257</v>
      </c>
      <c r="G35" s="11" t="s">
        <v>27</v>
      </c>
      <c r="H35" s="11">
        <v>14</v>
      </c>
      <c r="I35" s="11" t="s">
        <v>258</v>
      </c>
      <c r="J35" s="11" t="s">
        <v>259</v>
      </c>
      <c r="K35" s="11" t="s">
        <v>70</v>
      </c>
      <c r="L35" s="11" t="s">
        <v>180</v>
      </c>
      <c r="M35" s="11" t="s">
        <v>70</v>
      </c>
      <c r="N35" s="11" t="s">
        <v>260</v>
      </c>
    </row>
    <row r="36" spans="1:14" ht="25.5" x14ac:dyDescent="0.45">
      <c r="A36" s="11" t="s">
        <v>261</v>
      </c>
      <c r="B36" s="11" t="s">
        <v>240</v>
      </c>
      <c r="C36" s="11" t="s">
        <v>262</v>
      </c>
      <c r="D36" s="11" t="s">
        <v>242</v>
      </c>
      <c r="E36" s="11" t="s">
        <v>263</v>
      </c>
      <c r="F36" s="11" t="s">
        <v>264</v>
      </c>
      <c r="G36" s="11" t="s">
        <v>27</v>
      </c>
      <c r="H36" s="11">
        <v>2</v>
      </c>
      <c r="I36" s="11" t="s">
        <v>131</v>
      </c>
      <c r="J36" s="11" t="s">
        <v>265</v>
      </c>
      <c r="K36" s="11" t="s">
        <v>266</v>
      </c>
      <c r="L36" s="11" t="s">
        <v>81</v>
      </c>
      <c r="M36" s="11" t="s">
        <v>70</v>
      </c>
      <c r="N36" s="11" t="s">
        <v>267</v>
      </c>
    </row>
    <row r="37" spans="1:14" ht="25.5" x14ac:dyDescent="0.45">
      <c r="A37" s="11" t="s">
        <v>268</v>
      </c>
      <c r="B37" s="11" t="s">
        <v>240</v>
      </c>
      <c r="C37" s="11" t="s">
        <v>269</v>
      </c>
      <c r="D37" s="11" t="s">
        <v>270</v>
      </c>
      <c r="E37" s="11" t="s">
        <v>271</v>
      </c>
      <c r="F37" s="11" t="s">
        <v>272</v>
      </c>
      <c r="G37" s="11" t="s">
        <v>27</v>
      </c>
      <c r="H37" s="11">
        <v>1</v>
      </c>
      <c r="I37" s="11" t="s">
        <v>104</v>
      </c>
      <c r="J37" s="11" t="s">
        <v>273</v>
      </c>
      <c r="K37" s="11" t="s">
        <v>274</v>
      </c>
      <c r="L37" s="11" t="s">
        <v>180</v>
      </c>
      <c r="M37" s="11" t="s">
        <v>70</v>
      </c>
      <c r="N37" s="11" t="s">
        <v>275</v>
      </c>
    </row>
    <row r="38" spans="1:14" ht="25.5" x14ac:dyDescent="0.45">
      <c r="A38" s="11" t="s">
        <v>276</v>
      </c>
      <c r="B38" s="11" t="s">
        <v>240</v>
      </c>
      <c r="C38" s="11" t="s">
        <v>277</v>
      </c>
      <c r="D38" s="11" t="s">
        <v>278</v>
      </c>
      <c r="E38" s="11" t="s">
        <v>279</v>
      </c>
      <c r="F38" s="11" t="s">
        <v>280</v>
      </c>
      <c r="G38" s="11" t="s">
        <v>27</v>
      </c>
      <c r="H38" s="11">
        <v>1</v>
      </c>
      <c r="I38" s="11" t="s">
        <v>104</v>
      </c>
      <c r="J38" s="11" t="s">
        <v>273</v>
      </c>
      <c r="K38" s="11" t="s">
        <v>281</v>
      </c>
      <c r="L38" s="11" t="s">
        <v>281</v>
      </c>
      <c r="M38" s="11" t="s">
        <v>70</v>
      </c>
      <c r="N38" s="11"/>
    </row>
    <row r="39" spans="1:14" ht="38.25" x14ac:dyDescent="0.45">
      <c r="A39" s="11" t="s">
        <v>282</v>
      </c>
      <c r="B39" s="11" t="s">
        <v>240</v>
      </c>
      <c r="C39" s="11" t="s">
        <v>283</v>
      </c>
      <c r="D39" s="11" t="s">
        <v>284</v>
      </c>
      <c r="E39" s="11" t="s">
        <v>70</v>
      </c>
      <c r="F39" s="11" t="s">
        <v>285</v>
      </c>
      <c r="G39" s="12" t="s">
        <v>33</v>
      </c>
      <c r="H39" s="11">
        <v>3</v>
      </c>
      <c r="I39" s="11" t="s">
        <v>286</v>
      </c>
      <c r="J39" s="11" t="s">
        <v>287</v>
      </c>
      <c r="K39" s="11" t="s">
        <v>70</v>
      </c>
      <c r="L39" s="11" t="s">
        <v>180</v>
      </c>
      <c r="M39" s="11" t="s">
        <v>70</v>
      </c>
      <c r="N39" s="11" t="s">
        <v>288</v>
      </c>
    </row>
    <row r="40" spans="1:14" x14ac:dyDescent="0.45">
      <c r="A40" s="9" t="s">
        <v>289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25.5" x14ac:dyDescent="0.45">
      <c r="A41" s="11" t="s">
        <v>290</v>
      </c>
      <c r="B41" s="11" t="s">
        <v>7</v>
      </c>
      <c r="C41" s="11" t="s">
        <v>291</v>
      </c>
      <c r="D41" s="11" t="s">
        <v>169</v>
      </c>
      <c r="E41" s="11" t="s">
        <v>292</v>
      </c>
      <c r="F41" s="11" t="s">
        <v>293</v>
      </c>
      <c r="G41" s="12" t="s">
        <v>29</v>
      </c>
      <c r="H41" s="11">
        <v>2</v>
      </c>
      <c r="I41" s="11" t="s">
        <v>294</v>
      </c>
      <c r="J41" s="11" t="s">
        <v>172</v>
      </c>
      <c r="K41" s="11" t="s">
        <v>174</v>
      </c>
      <c r="L41" s="11" t="s">
        <v>174</v>
      </c>
      <c r="M41" s="11" t="s">
        <v>70</v>
      </c>
      <c r="N41" s="11" t="s">
        <v>295</v>
      </c>
    </row>
    <row r="42" spans="1:14" ht="25.5" x14ac:dyDescent="0.45">
      <c r="A42" s="11" t="s">
        <v>296</v>
      </c>
      <c r="B42" s="11" t="s">
        <v>7</v>
      </c>
      <c r="C42" s="11" t="s">
        <v>297</v>
      </c>
      <c r="D42" s="11" t="s">
        <v>298</v>
      </c>
      <c r="E42" s="11" t="s">
        <v>299</v>
      </c>
      <c r="F42" s="11" t="s">
        <v>293</v>
      </c>
      <c r="G42" s="12" t="s">
        <v>29</v>
      </c>
      <c r="H42" s="11">
        <v>1</v>
      </c>
      <c r="I42" s="11" t="s">
        <v>294</v>
      </c>
      <c r="J42" s="11" t="s">
        <v>273</v>
      </c>
      <c r="K42" s="11" t="s">
        <v>70</v>
      </c>
      <c r="L42" s="11" t="s">
        <v>180</v>
      </c>
      <c r="M42" s="11" t="s">
        <v>70</v>
      </c>
      <c r="N42" s="11"/>
    </row>
    <row r="43" spans="1:14" ht="25.5" x14ac:dyDescent="0.45">
      <c r="A43" s="11" t="s">
        <v>300</v>
      </c>
      <c r="B43" s="11" t="s">
        <v>7</v>
      </c>
      <c r="C43" s="11" t="s">
        <v>301</v>
      </c>
      <c r="D43" s="11" t="s">
        <v>298</v>
      </c>
      <c r="E43" s="11" t="s">
        <v>302</v>
      </c>
      <c r="F43" s="11" t="s">
        <v>293</v>
      </c>
      <c r="G43" s="12" t="s">
        <v>29</v>
      </c>
      <c r="H43" s="11">
        <v>1</v>
      </c>
      <c r="I43" s="11" t="s">
        <v>294</v>
      </c>
      <c r="J43" s="11" t="s">
        <v>273</v>
      </c>
      <c r="K43" s="11" t="s">
        <v>70</v>
      </c>
      <c r="L43" s="11" t="s">
        <v>180</v>
      </c>
      <c r="M43" s="11" t="s">
        <v>70</v>
      </c>
      <c r="N43" s="11"/>
    </row>
    <row r="44" spans="1:14" ht="25.5" x14ac:dyDescent="0.45">
      <c r="A44" s="11" t="s">
        <v>303</v>
      </c>
      <c r="B44" s="11" t="s">
        <v>7</v>
      </c>
      <c r="C44" s="11" t="s">
        <v>304</v>
      </c>
      <c r="D44" s="11" t="s">
        <v>305</v>
      </c>
      <c r="E44" s="11" t="s">
        <v>306</v>
      </c>
      <c r="F44" s="11" t="s">
        <v>307</v>
      </c>
      <c r="G44" s="11" t="s">
        <v>27</v>
      </c>
      <c r="H44" s="11">
        <v>3</v>
      </c>
      <c r="I44" s="11" t="s">
        <v>308</v>
      </c>
      <c r="J44" s="11" t="s">
        <v>273</v>
      </c>
      <c r="K44" s="11" t="s">
        <v>81</v>
      </c>
      <c r="L44" s="11" t="s">
        <v>81</v>
      </c>
      <c r="M44" s="11" t="s">
        <v>70</v>
      </c>
      <c r="N44" s="11"/>
    </row>
    <row r="45" spans="1:14" ht="51" x14ac:dyDescent="0.45">
      <c r="A45" s="11" t="s">
        <v>309</v>
      </c>
      <c r="B45" s="11" t="s">
        <v>7</v>
      </c>
      <c r="C45" s="11" t="s">
        <v>310</v>
      </c>
      <c r="D45" s="11" t="s">
        <v>169</v>
      </c>
      <c r="E45" s="11" t="s">
        <v>311</v>
      </c>
      <c r="F45" s="11" t="s">
        <v>312</v>
      </c>
      <c r="G45" s="11" t="s">
        <v>25</v>
      </c>
      <c r="H45" s="11">
        <v>6</v>
      </c>
      <c r="I45" s="11" t="s">
        <v>313</v>
      </c>
      <c r="J45" s="11" t="s">
        <v>70</v>
      </c>
      <c r="K45" s="11" t="s">
        <v>70</v>
      </c>
      <c r="L45" s="11" t="s">
        <v>180</v>
      </c>
      <c r="M45" s="11" t="s">
        <v>70</v>
      </c>
      <c r="N45" s="11" t="s">
        <v>314</v>
      </c>
    </row>
    <row r="46" spans="1:14" ht="25.5" x14ac:dyDescent="0.45">
      <c r="A46" s="11" t="s">
        <v>315</v>
      </c>
      <c r="B46" s="11" t="s">
        <v>7</v>
      </c>
      <c r="C46" s="11" t="s">
        <v>316</v>
      </c>
      <c r="D46" s="11" t="s">
        <v>317</v>
      </c>
      <c r="E46" s="11" t="s">
        <v>318</v>
      </c>
      <c r="F46" s="11" t="s">
        <v>319</v>
      </c>
      <c r="G46" s="11" t="s">
        <v>27</v>
      </c>
      <c r="H46" s="11">
        <v>1</v>
      </c>
      <c r="I46" s="11" t="s">
        <v>294</v>
      </c>
      <c r="J46" s="11" t="s">
        <v>273</v>
      </c>
      <c r="K46" s="11" t="s">
        <v>320</v>
      </c>
      <c r="L46" s="11" t="s">
        <v>180</v>
      </c>
      <c r="M46" s="11" t="s">
        <v>70</v>
      </c>
      <c r="N46" s="11" t="s">
        <v>321</v>
      </c>
    </row>
    <row r="47" spans="1:14" ht="25.5" x14ac:dyDescent="0.45">
      <c r="A47" s="11" t="s">
        <v>322</v>
      </c>
      <c r="B47" s="11" t="s">
        <v>7</v>
      </c>
      <c r="C47" s="11" t="s">
        <v>323</v>
      </c>
      <c r="D47" s="11" t="s">
        <v>324</v>
      </c>
      <c r="E47" s="11" t="s">
        <v>325</v>
      </c>
      <c r="F47" s="11" t="s">
        <v>326</v>
      </c>
      <c r="G47" s="11" t="s">
        <v>27</v>
      </c>
      <c r="H47" s="11">
        <v>1</v>
      </c>
      <c r="I47" s="11" t="s">
        <v>104</v>
      </c>
      <c r="J47" s="11" t="s">
        <v>70</v>
      </c>
      <c r="K47" s="11" t="s">
        <v>70</v>
      </c>
      <c r="L47" s="11" t="s">
        <v>180</v>
      </c>
      <c r="M47" s="11" t="s">
        <v>144</v>
      </c>
      <c r="N47" s="11" t="s">
        <v>327</v>
      </c>
    </row>
    <row r="48" spans="1:14" ht="25.5" x14ac:dyDescent="0.45">
      <c r="A48" s="11" t="s">
        <v>328</v>
      </c>
      <c r="B48" s="11" t="s">
        <v>7</v>
      </c>
      <c r="C48" s="11" t="s">
        <v>329</v>
      </c>
      <c r="D48" s="11" t="s">
        <v>324</v>
      </c>
      <c r="E48" s="11" t="s">
        <v>330</v>
      </c>
      <c r="F48" s="11" t="s">
        <v>331</v>
      </c>
      <c r="G48" s="12" t="s">
        <v>33</v>
      </c>
      <c r="H48" s="11">
        <v>4</v>
      </c>
      <c r="I48" s="11" t="s">
        <v>332</v>
      </c>
      <c r="J48" s="11" t="s">
        <v>70</v>
      </c>
      <c r="K48" s="11" t="s">
        <v>70</v>
      </c>
      <c r="L48" s="11" t="s">
        <v>180</v>
      </c>
      <c r="M48" s="11" t="s">
        <v>232</v>
      </c>
      <c r="N48" s="11" t="s">
        <v>333</v>
      </c>
    </row>
    <row r="49" spans="1:14" x14ac:dyDescent="0.45">
      <c r="A49" s="11" t="s">
        <v>334</v>
      </c>
      <c r="B49" s="11" t="s">
        <v>7</v>
      </c>
      <c r="C49" s="11" t="s">
        <v>335</v>
      </c>
      <c r="D49" s="11" t="s">
        <v>336</v>
      </c>
      <c r="E49" s="11" t="s">
        <v>337</v>
      </c>
      <c r="F49" s="11" t="s">
        <v>338</v>
      </c>
      <c r="G49" s="12" t="s">
        <v>33</v>
      </c>
      <c r="H49" s="11">
        <v>1</v>
      </c>
      <c r="I49" s="11" t="s">
        <v>294</v>
      </c>
      <c r="J49" s="11" t="s">
        <v>199</v>
      </c>
      <c r="K49" s="11" t="s">
        <v>113</v>
      </c>
      <c r="L49" s="11" t="s">
        <v>113</v>
      </c>
      <c r="M49" s="11" t="s">
        <v>108</v>
      </c>
      <c r="N49" s="11"/>
    </row>
    <row r="50" spans="1:14" x14ac:dyDescent="0.45">
      <c r="A50" s="9" t="s">
        <v>339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25.5" x14ac:dyDescent="0.45">
      <c r="A51" s="11" t="s">
        <v>340</v>
      </c>
      <c r="B51" s="11" t="s">
        <v>341</v>
      </c>
      <c r="C51" s="11" t="s">
        <v>342</v>
      </c>
      <c r="D51" s="11" t="s">
        <v>169</v>
      </c>
      <c r="E51" s="11" t="s">
        <v>343</v>
      </c>
      <c r="F51" s="11" t="s">
        <v>237</v>
      </c>
      <c r="G51" s="12" t="s">
        <v>29</v>
      </c>
      <c r="H51" s="11">
        <v>1</v>
      </c>
      <c r="I51" s="11" t="s">
        <v>344</v>
      </c>
      <c r="J51" s="11" t="s">
        <v>70</v>
      </c>
      <c r="K51" s="11" t="s">
        <v>174</v>
      </c>
      <c r="L51" s="11" t="s">
        <v>180</v>
      </c>
      <c r="M51" s="11" t="s">
        <v>70</v>
      </c>
      <c r="N51" s="11" t="s">
        <v>345</v>
      </c>
    </row>
    <row r="52" spans="1:14" ht="25.5" x14ac:dyDescent="0.45">
      <c r="A52" s="11" t="s">
        <v>346</v>
      </c>
      <c r="B52" s="11" t="s">
        <v>341</v>
      </c>
      <c r="C52" s="11" t="s">
        <v>347</v>
      </c>
      <c r="D52" s="11" t="s">
        <v>169</v>
      </c>
      <c r="E52" s="11" t="s">
        <v>348</v>
      </c>
      <c r="F52" s="11" t="s">
        <v>237</v>
      </c>
      <c r="G52" s="12" t="s">
        <v>29</v>
      </c>
      <c r="H52" s="11">
        <v>1</v>
      </c>
      <c r="I52" s="11" t="s">
        <v>301</v>
      </c>
      <c r="J52" s="11" t="s">
        <v>70</v>
      </c>
      <c r="K52" s="11" t="s">
        <v>70</v>
      </c>
      <c r="L52" s="11" t="s">
        <v>180</v>
      </c>
      <c r="M52" s="11" t="s">
        <v>70</v>
      </c>
      <c r="N52" s="11"/>
    </row>
    <row r="53" spans="1:14" ht="25.5" x14ac:dyDescent="0.45">
      <c r="A53" s="11" t="s">
        <v>349</v>
      </c>
      <c r="B53" s="11" t="s">
        <v>341</v>
      </c>
      <c r="C53" s="11" t="s">
        <v>350</v>
      </c>
      <c r="D53" s="11" t="s">
        <v>242</v>
      </c>
      <c r="E53" s="11" t="s">
        <v>351</v>
      </c>
      <c r="F53" s="11" t="s">
        <v>237</v>
      </c>
      <c r="G53" s="12" t="s">
        <v>29</v>
      </c>
      <c r="H53" s="11">
        <v>1</v>
      </c>
      <c r="I53" s="11" t="s">
        <v>352</v>
      </c>
      <c r="J53" s="11" t="s">
        <v>70</v>
      </c>
      <c r="K53" s="11" t="s">
        <v>320</v>
      </c>
      <c r="L53" s="11" t="s">
        <v>180</v>
      </c>
      <c r="M53" s="11" t="s">
        <v>70</v>
      </c>
      <c r="N53" s="11"/>
    </row>
    <row r="54" spans="1:14" x14ac:dyDescent="0.45">
      <c r="A54" s="11" t="s">
        <v>353</v>
      </c>
      <c r="B54" s="11" t="s">
        <v>341</v>
      </c>
      <c r="C54" s="11" t="s">
        <v>354</v>
      </c>
      <c r="D54" s="11" t="s">
        <v>270</v>
      </c>
      <c r="E54" s="11" t="s">
        <v>355</v>
      </c>
      <c r="F54" s="11" t="s">
        <v>70</v>
      </c>
      <c r="G54" s="11" t="s">
        <v>70</v>
      </c>
      <c r="H54" s="11">
        <v>1</v>
      </c>
      <c r="I54" s="11" t="s">
        <v>356</v>
      </c>
      <c r="J54" s="11" t="s">
        <v>70</v>
      </c>
      <c r="K54" s="11" t="s">
        <v>70</v>
      </c>
      <c r="L54" s="11" t="s">
        <v>180</v>
      </c>
      <c r="M54" s="11" t="s">
        <v>70</v>
      </c>
      <c r="N54" s="11"/>
    </row>
  </sheetData>
  <autoFilter ref="A1:N54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26" customWidth="1"/>
    <col min="2" max="2" width="60" customWidth="1"/>
    <col min="3" max="3" width="12" customWidth="1"/>
    <col min="4" max="4" width="14" customWidth="1"/>
  </cols>
  <sheetData>
    <row r="1" spans="1:4" ht="30" customHeight="1" x14ac:dyDescent="0.45">
      <c r="A1" s="8" t="s">
        <v>61</v>
      </c>
      <c r="B1" s="8" t="s">
        <v>357</v>
      </c>
      <c r="C1" s="8" t="s">
        <v>358</v>
      </c>
      <c r="D1" s="8" t="s">
        <v>359</v>
      </c>
    </row>
    <row r="2" spans="1:4" x14ac:dyDescent="0.45">
      <c r="A2" s="11" t="s">
        <v>174</v>
      </c>
      <c r="B2" s="11" t="s">
        <v>360</v>
      </c>
      <c r="C2" s="11">
        <f>COUNTIF('Device List'!$L$2:$L$54,A2)</f>
        <v>2</v>
      </c>
      <c r="D2" s="11">
        <f>SUMIF('Device List'!$L$2:$L$54,A2,'Device List'!$H$2:$H$54)</f>
        <v>3</v>
      </c>
    </row>
    <row r="3" spans="1:4" x14ac:dyDescent="0.45">
      <c r="A3" s="11" t="s">
        <v>107</v>
      </c>
      <c r="B3" s="11" t="s">
        <v>361</v>
      </c>
      <c r="C3" s="11">
        <f>COUNTIF('Device List'!$L$2:$L$54,A3)</f>
        <v>1</v>
      </c>
      <c r="D3" s="11">
        <f>SUMIF('Device List'!$L$2:$L$54,A3,'Device List'!$H$2:$H$54)</f>
        <v>7</v>
      </c>
    </row>
    <row r="4" spans="1:4" ht="25.5" x14ac:dyDescent="0.45">
      <c r="A4" s="11" t="s">
        <v>81</v>
      </c>
      <c r="B4" s="11" t="s">
        <v>362</v>
      </c>
      <c r="C4" s="11">
        <f>COUNTIF('Device List'!$L$2:$L$54,A4)</f>
        <v>8</v>
      </c>
      <c r="D4" s="11">
        <f>SUMIF('Device List'!$L$2:$L$54,A4,'Device List'!$H$2:$H$54)</f>
        <v>12</v>
      </c>
    </row>
    <row r="5" spans="1:4" x14ac:dyDescent="0.45">
      <c r="A5" s="11" t="s">
        <v>121</v>
      </c>
      <c r="B5" s="11" t="s">
        <v>363</v>
      </c>
      <c r="C5" s="11">
        <f>COUNTIF('Device List'!$L$2:$L$54,A5)</f>
        <v>1</v>
      </c>
      <c r="D5" s="11">
        <f>SUMIF('Device List'!$L$2:$L$54,A5,'Device List'!$H$2:$H$54)</f>
        <v>2</v>
      </c>
    </row>
    <row r="6" spans="1:4" x14ac:dyDescent="0.45">
      <c r="A6" s="11" t="s">
        <v>200</v>
      </c>
      <c r="B6" s="11" t="s">
        <v>364</v>
      </c>
      <c r="C6" s="11">
        <f>COUNTIF('Device List'!$L$2:$L$54,A6)</f>
        <v>6</v>
      </c>
      <c r="D6" s="11">
        <f>SUMIF('Device List'!$L$2:$L$54,A6,'Device List'!$H$2:$H$54)</f>
        <v>29</v>
      </c>
    </row>
    <row r="7" spans="1:4" x14ac:dyDescent="0.45">
      <c r="A7" s="11" t="s">
        <v>113</v>
      </c>
      <c r="B7" s="11" t="s">
        <v>365</v>
      </c>
      <c r="C7" s="11">
        <f>COUNTIF('Device List'!$L$2:$L$54,A7)</f>
        <v>6</v>
      </c>
      <c r="D7" s="11">
        <f>SUMIF('Device List'!$L$2:$L$54,A7,'Device List'!$H$2:$H$54)</f>
        <v>10</v>
      </c>
    </row>
    <row r="8" spans="1:4" x14ac:dyDescent="0.45">
      <c r="A8" s="11" t="s">
        <v>74</v>
      </c>
      <c r="B8" s="11" t="s">
        <v>366</v>
      </c>
      <c r="C8" s="11">
        <f>COUNTIF('Device List'!$L$2:$L$54,A8)</f>
        <v>1</v>
      </c>
      <c r="D8" s="11">
        <f>SUMIF('Device List'!$L$2:$L$54,A8,'Device List'!$H$2:$H$54)</f>
        <v>4</v>
      </c>
    </row>
    <row r="9" spans="1:4" x14ac:dyDescent="0.45">
      <c r="A9" s="11" t="s">
        <v>281</v>
      </c>
      <c r="B9" s="11" t="s">
        <v>367</v>
      </c>
      <c r="C9" s="11">
        <f>COUNTIF('Device List'!$L$2:$L$54,A9)</f>
        <v>1</v>
      </c>
      <c r="D9" s="11">
        <f>SUMIF('Device List'!$L$2:$L$54,A9,'Device List'!$H$2:$H$54)</f>
        <v>1</v>
      </c>
    </row>
    <row r="10" spans="1:4" x14ac:dyDescent="0.45">
      <c r="A10" s="11" t="s">
        <v>157</v>
      </c>
      <c r="B10" s="11" t="s">
        <v>368</v>
      </c>
      <c r="C10" s="11">
        <f>COUNTIF('Device List'!$L$2:$L$54,A10)</f>
        <v>3</v>
      </c>
      <c r="D10" s="11">
        <f>SUMIF('Device List'!$L$2:$L$54,A10,'Device List'!$H$2:$H$54)</f>
        <v>4</v>
      </c>
    </row>
    <row r="12" spans="1:4" x14ac:dyDescent="0.45">
      <c r="A12" s="13" t="s">
        <v>369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2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25" x14ac:dyDescent="0.45"/>
  <cols>
    <col min="1" max="1" width="24" customWidth="1"/>
    <col min="2" max="2" width="40" customWidth="1"/>
    <col min="3" max="3" width="26" customWidth="1"/>
    <col min="4" max="4" width="18" customWidth="1"/>
    <col min="5" max="5" width="7" customWidth="1"/>
    <col min="6" max="6" width="8" customWidth="1"/>
    <col min="7" max="8" width="11" customWidth="1"/>
    <col min="9" max="9" width="8" customWidth="1"/>
    <col min="10" max="10" width="18" customWidth="1"/>
    <col min="11" max="11" width="11" customWidth="1"/>
    <col min="12" max="12" width="12" customWidth="1"/>
    <col min="13" max="13" width="30" customWidth="1"/>
  </cols>
  <sheetData>
    <row r="1" spans="1:13" ht="30" customHeight="1" x14ac:dyDescent="0.45">
      <c r="A1" s="8" t="s">
        <v>370</v>
      </c>
      <c r="B1" s="8" t="s">
        <v>371</v>
      </c>
      <c r="C1" s="8" t="s">
        <v>372</v>
      </c>
      <c r="D1" s="8" t="s">
        <v>58</v>
      </c>
      <c r="E1" s="8" t="s">
        <v>373</v>
      </c>
      <c r="F1" s="8" t="s">
        <v>374</v>
      </c>
      <c r="G1" s="8" t="s">
        <v>375</v>
      </c>
      <c r="H1" s="8" t="s">
        <v>376</v>
      </c>
      <c r="I1" s="8" t="s">
        <v>377</v>
      </c>
      <c r="J1" s="8" t="s">
        <v>378</v>
      </c>
      <c r="K1" s="8" t="s">
        <v>379</v>
      </c>
      <c r="L1" s="8" t="s">
        <v>380</v>
      </c>
      <c r="M1" s="8" t="s">
        <v>63</v>
      </c>
    </row>
    <row r="2" spans="1:13" ht="25.5" x14ac:dyDescent="0.45">
      <c r="A2" s="11" t="s">
        <v>381</v>
      </c>
      <c r="B2" s="11" t="s">
        <v>382</v>
      </c>
      <c r="C2" s="11" t="s">
        <v>383</v>
      </c>
      <c r="D2" s="11" t="s">
        <v>104</v>
      </c>
      <c r="E2" s="11" t="s">
        <v>384</v>
      </c>
      <c r="F2" s="11">
        <v>1</v>
      </c>
      <c r="G2" s="11" t="s">
        <v>385</v>
      </c>
      <c r="H2" s="11" t="s">
        <v>196</v>
      </c>
      <c r="I2" s="11">
        <v>1</v>
      </c>
      <c r="J2" s="11" t="s">
        <v>3</v>
      </c>
      <c r="K2" s="11" t="s">
        <v>3</v>
      </c>
      <c r="L2" s="11" t="s">
        <v>70</v>
      </c>
      <c r="M2" s="11"/>
    </row>
    <row r="3" spans="1:13" ht="25.5" x14ac:dyDescent="0.45">
      <c r="A3" s="11" t="s">
        <v>386</v>
      </c>
      <c r="B3" s="11" t="s">
        <v>387</v>
      </c>
      <c r="C3" s="11" t="s">
        <v>383</v>
      </c>
      <c r="D3" s="11" t="s">
        <v>104</v>
      </c>
      <c r="E3" s="11" t="s">
        <v>384</v>
      </c>
      <c r="F3" s="11">
        <v>1</v>
      </c>
      <c r="G3" s="11" t="s">
        <v>385</v>
      </c>
      <c r="H3" s="11" t="s">
        <v>196</v>
      </c>
      <c r="I3" s="11">
        <v>2</v>
      </c>
      <c r="J3" s="11" t="s">
        <v>3</v>
      </c>
      <c r="K3" s="11" t="s">
        <v>3</v>
      </c>
      <c r="L3" s="11" t="s">
        <v>70</v>
      </c>
      <c r="M3" s="11"/>
    </row>
    <row r="4" spans="1:13" ht="25.5" x14ac:dyDescent="0.45">
      <c r="A4" s="11" t="s">
        <v>388</v>
      </c>
      <c r="B4" s="11" t="s">
        <v>389</v>
      </c>
      <c r="C4" s="11" t="s">
        <v>383</v>
      </c>
      <c r="D4" s="11" t="s">
        <v>104</v>
      </c>
      <c r="E4" s="11" t="s">
        <v>384</v>
      </c>
      <c r="F4" s="11">
        <v>1</v>
      </c>
      <c r="G4" s="11" t="s">
        <v>385</v>
      </c>
      <c r="H4" s="11" t="s">
        <v>196</v>
      </c>
      <c r="I4" s="11">
        <v>3</v>
      </c>
      <c r="J4" s="11" t="s">
        <v>390</v>
      </c>
      <c r="K4" s="11" t="s">
        <v>36</v>
      </c>
      <c r="L4" s="11" t="s">
        <v>70</v>
      </c>
      <c r="M4" s="11"/>
    </row>
    <row r="5" spans="1:13" ht="25.5" x14ac:dyDescent="0.45">
      <c r="A5" s="11" t="s">
        <v>391</v>
      </c>
      <c r="B5" s="11" t="s">
        <v>392</v>
      </c>
      <c r="C5" s="11" t="s">
        <v>383</v>
      </c>
      <c r="D5" s="11" t="s">
        <v>104</v>
      </c>
      <c r="E5" s="11" t="s">
        <v>384</v>
      </c>
      <c r="F5" s="11">
        <v>1</v>
      </c>
      <c r="G5" s="11" t="s">
        <v>385</v>
      </c>
      <c r="H5" s="11" t="s">
        <v>196</v>
      </c>
      <c r="I5" s="11">
        <v>4</v>
      </c>
      <c r="J5" s="11" t="s">
        <v>3</v>
      </c>
      <c r="K5" s="11" t="s">
        <v>3</v>
      </c>
      <c r="L5" s="11" t="s">
        <v>70</v>
      </c>
      <c r="M5" s="11" t="s">
        <v>393</v>
      </c>
    </row>
    <row r="6" spans="1:13" ht="25.5" x14ac:dyDescent="0.45">
      <c r="A6" s="11" t="s">
        <v>394</v>
      </c>
      <c r="B6" s="11" t="s">
        <v>395</v>
      </c>
      <c r="C6" s="11" t="s">
        <v>383</v>
      </c>
      <c r="D6" s="11" t="s">
        <v>104</v>
      </c>
      <c r="E6" s="11" t="s">
        <v>384</v>
      </c>
      <c r="F6" s="11">
        <v>1</v>
      </c>
      <c r="G6" s="11" t="s">
        <v>385</v>
      </c>
      <c r="H6" s="11" t="s">
        <v>196</v>
      </c>
      <c r="I6" s="11">
        <v>5</v>
      </c>
      <c r="J6" s="11" t="s">
        <v>3</v>
      </c>
      <c r="K6" s="11" t="s">
        <v>3</v>
      </c>
      <c r="L6" s="11" t="s">
        <v>70</v>
      </c>
      <c r="M6" s="11" t="s">
        <v>396</v>
      </c>
    </row>
    <row r="7" spans="1:13" ht="25.5" x14ac:dyDescent="0.45">
      <c r="A7" s="11" t="s">
        <v>397</v>
      </c>
      <c r="B7" s="11" t="s">
        <v>398</v>
      </c>
      <c r="C7" s="11" t="s">
        <v>383</v>
      </c>
      <c r="D7" s="11" t="s">
        <v>104</v>
      </c>
      <c r="E7" s="11" t="s">
        <v>384</v>
      </c>
      <c r="F7" s="11">
        <v>1</v>
      </c>
      <c r="G7" s="11" t="s">
        <v>385</v>
      </c>
      <c r="H7" s="11" t="s">
        <v>196</v>
      </c>
      <c r="I7" s="11">
        <v>6</v>
      </c>
      <c r="J7" s="11" t="s">
        <v>399</v>
      </c>
      <c r="K7" s="11" t="s">
        <v>40</v>
      </c>
      <c r="L7" s="11" t="s">
        <v>70</v>
      </c>
      <c r="M7" s="11"/>
    </row>
    <row r="8" spans="1:13" ht="25.5" x14ac:dyDescent="0.45">
      <c r="A8" s="11" t="s">
        <v>400</v>
      </c>
      <c r="B8" s="11" t="s">
        <v>401</v>
      </c>
      <c r="C8" s="11" t="s">
        <v>383</v>
      </c>
      <c r="D8" s="11" t="s">
        <v>104</v>
      </c>
      <c r="E8" s="11" t="s">
        <v>384</v>
      </c>
      <c r="F8" s="11">
        <v>1</v>
      </c>
      <c r="G8" s="11" t="s">
        <v>385</v>
      </c>
      <c r="H8" s="11" t="s">
        <v>196</v>
      </c>
      <c r="I8" s="11">
        <v>7</v>
      </c>
      <c r="J8" s="11" t="s">
        <v>390</v>
      </c>
      <c r="K8" s="11" t="s">
        <v>38</v>
      </c>
      <c r="L8" s="11" t="s">
        <v>70</v>
      </c>
      <c r="M8" s="11"/>
    </row>
    <row r="9" spans="1:13" ht="25.5" x14ac:dyDescent="0.45">
      <c r="A9" s="11" t="s">
        <v>402</v>
      </c>
      <c r="B9" s="11" t="s">
        <v>403</v>
      </c>
      <c r="C9" s="11" t="s">
        <v>383</v>
      </c>
      <c r="D9" s="11" t="s">
        <v>104</v>
      </c>
      <c r="E9" s="11" t="s">
        <v>384</v>
      </c>
      <c r="F9" s="11">
        <v>1</v>
      </c>
      <c r="G9" s="11" t="s">
        <v>385</v>
      </c>
      <c r="H9" s="11" t="s">
        <v>196</v>
      </c>
      <c r="I9" s="11">
        <v>8</v>
      </c>
      <c r="J9" s="11" t="s">
        <v>399</v>
      </c>
      <c r="K9" s="11" t="s">
        <v>38</v>
      </c>
      <c r="L9" s="11" t="s">
        <v>70</v>
      </c>
      <c r="M9" s="11"/>
    </row>
    <row r="10" spans="1:13" ht="25.5" x14ac:dyDescent="0.45">
      <c r="A10" s="11" t="s">
        <v>404</v>
      </c>
      <c r="B10" s="11" t="s">
        <v>405</v>
      </c>
      <c r="C10" s="11" t="s">
        <v>383</v>
      </c>
      <c r="D10" s="11" t="s">
        <v>104</v>
      </c>
      <c r="E10" s="11" t="s">
        <v>384</v>
      </c>
      <c r="F10" s="11">
        <v>1</v>
      </c>
      <c r="G10" s="11" t="s">
        <v>385</v>
      </c>
      <c r="H10" s="11" t="s">
        <v>196</v>
      </c>
      <c r="I10" s="11">
        <v>9</v>
      </c>
      <c r="J10" s="11" t="s">
        <v>399</v>
      </c>
      <c r="K10" s="11" t="s">
        <v>38</v>
      </c>
      <c r="L10" s="11" t="s">
        <v>70</v>
      </c>
      <c r="M10" s="11"/>
    </row>
    <row r="11" spans="1:13" x14ac:dyDescent="0.45">
      <c r="A11" s="11" t="s">
        <v>406</v>
      </c>
      <c r="B11" s="11" t="s">
        <v>382</v>
      </c>
      <c r="C11" s="11" t="s">
        <v>407</v>
      </c>
      <c r="D11" s="11" t="s">
        <v>104</v>
      </c>
      <c r="E11" s="11" t="s">
        <v>384</v>
      </c>
      <c r="F11" s="11">
        <v>1</v>
      </c>
      <c r="G11" s="11" t="s">
        <v>385</v>
      </c>
      <c r="H11" s="11" t="s">
        <v>196</v>
      </c>
      <c r="I11" s="11">
        <v>10</v>
      </c>
      <c r="J11" s="11" t="s">
        <v>3</v>
      </c>
      <c r="K11" s="11" t="s">
        <v>3</v>
      </c>
      <c r="L11" s="11" t="s">
        <v>70</v>
      </c>
      <c r="M11" s="11"/>
    </row>
    <row r="12" spans="1:13" x14ac:dyDescent="0.45">
      <c r="A12" s="11" t="s">
        <v>408</v>
      </c>
      <c r="B12" s="11" t="s">
        <v>387</v>
      </c>
      <c r="C12" s="11" t="s">
        <v>407</v>
      </c>
      <c r="D12" s="11" t="s">
        <v>104</v>
      </c>
      <c r="E12" s="11" t="s">
        <v>384</v>
      </c>
      <c r="F12" s="11">
        <v>1</v>
      </c>
      <c r="G12" s="11" t="s">
        <v>385</v>
      </c>
      <c r="H12" s="11" t="s">
        <v>196</v>
      </c>
      <c r="I12" s="11">
        <v>11</v>
      </c>
      <c r="J12" s="11" t="s">
        <v>3</v>
      </c>
      <c r="K12" s="11" t="s">
        <v>3</v>
      </c>
      <c r="L12" s="11" t="s">
        <v>70</v>
      </c>
      <c r="M12" s="11"/>
    </row>
    <row r="13" spans="1:13" x14ac:dyDescent="0.45">
      <c r="A13" s="11" t="s">
        <v>409</v>
      </c>
      <c r="B13" s="11" t="s">
        <v>389</v>
      </c>
      <c r="C13" s="11" t="s">
        <v>407</v>
      </c>
      <c r="D13" s="11" t="s">
        <v>104</v>
      </c>
      <c r="E13" s="11" t="s">
        <v>384</v>
      </c>
      <c r="F13" s="11">
        <v>1</v>
      </c>
      <c r="G13" s="11" t="s">
        <v>385</v>
      </c>
      <c r="H13" s="11" t="s">
        <v>196</v>
      </c>
      <c r="I13" s="11">
        <v>12</v>
      </c>
      <c r="J13" s="11" t="s">
        <v>390</v>
      </c>
      <c r="K13" s="11" t="s">
        <v>36</v>
      </c>
      <c r="L13" s="11" t="s">
        <v>70</v>
      </c>
      <c r="M13" s="11"/>
    </row>
    <row r="14" spans="1:13" x14ac:dyDescent="0.45">
      <c r="A14" s="11" t="s">
        <v>410</v>
      </c>
      <c r="B14" s="11" t="s">
        <v>392</v>
      </c>
      <c r="C14" s="11" t="s">
        <v>407</v>
      </c>
      <c r="D14" s="11" t="s">
        <v>104</v>
      </c>
      <c r="E14" s="11" t="s">
        <v>384</v>
      </c>
      <c r="F14" s="11">
        <v>1</v>
      </c>
      <c r="G14" s="11" t="s">
        <v>385</v>
      </c>
      <c r="H14" s="11" t="s">
        <v>196</v>
      </c>
      <c r="I14" s="11">
        <v>13</v>
      </c>
      <c r="J14" s="11" t="s">
        <v>3</v>
      </c>
      <c r="K14" s="11" t="s">
        <v>3</v>
      </c>
      <c r="L14" s="11" t="s">
        <v>70</v>
      </c>
      <c r="M14" s="11" t="s">
        <v>393</v>
      </c>
    </row>
    <row r="15" spans="1:13" ht="25.5" x14ac:dyDescent="0.45">
      <c r="A15" s="11" t="s">
        <v>411</v>
      </c>
      <c r="B15" s="11" t="s">
        <v>395</v>
      </c>
      <c r="C15" s="11" t="s">
        <v>407</v>
      </c>
      <c r="D15" s="11" t="s">
        <v>104</v>
      </c>
      <c r="E15" s="11" t="s">
        <v>384</v>
      </c>
      <c r="F15" s="11">
        <v>1</v>
      </c>
      <c r="G15" s="11" t="s">
        <v>385</v>
      </c>
      <c r="H15" s="11" t="s">
        <v>196</v>
      </c>
      <c r="I15" s="11">
        <v>14</v>
      </c>
      <c r="J15" s="11" t="s">
        <v>3</v>
      </c>
      <c r="K15" s="11" t="s">
        <v>3</v>
      </c>
      <c r="L15" s="11" t="s">
        <v>70</v>
      </c>
      <c r="M15" s="11" t="s">
        <v>396</v>
      </c>
    </row>
    <row r="16" spans="1:13" x14ac:dyDescent="0.45">
      <c r="A16" s="11" t="s">
        <v>412</v>
      </c>
      <c r="B16" s="11" t="s">
        <v>398</v>
      </c>
      <c r="C16" s="11" t="s">
        <v>407</v>
      </c>
      <c r="D16" s="11" t="s">
        <v>104</v>
      </c>
      <c r="E16" s="11" t="s">
        <v>384</v>
      </c>
      <c r="F16" s="11">
        <v>1</v>
      </c>
      <c r="G16" s="11" t="s">
        <v>385</v>
      </c>
      <c r="H16" s="11" t="s">
        <v>196</v>
      </c>
      <c r="I16" s="11">
        <v>15</v>
      </c>
      <c r="J16" s="11" t="s">
        <v>399</v>
      </c>
      <c r="K16" s="11" t="s">
        <v>40</v>
      </c>
      <c r="L16" s="11" t="s">
        <v>70</v>
      </c>
      <c r="M16" s="11"/>
    </row>
    <row r="17" spans="1:13" x14ac:dyDescent="0.45">
      <c r="A17" s="11" t="s">
        <v>413</v>
      </c>
      <c r="B17" s="11" t="s">
        <v>401</v>
      </c>
      <c r="C17" s="11" t="s">
        <v>407</v>
      </c>
      <c r="D17" s="11" t="s">
        <v>104</v>
      </c>
      <c r="E17" s="11" t="s">
        <v>384</v>
      </c>
      <c r="F17" s="11">
        <v>1</v>
      </c>
      <c r="G17" s="11" t="s">
        <v>385</v>
      </c>
      <c r="H17" s="11" t="s">
        <v>196</v>
      </c>
      <c r="I17" s="11">
        <v>16</v>
      </c>
      <c r="J17" s="11" t="s">
        <v>390</v>
      </c>
      <c r="K17" s="11" t="s">
        <v>38</v>
      </c>
      <c r="L17" s="11" t="s">
        <v>70</v>
      </c>
      <c r="M17" s="11"/>
    </row>
    <row r="18" spans="1:13" x14ac:dyDescent="0.45">
      <c r="A18" s="11" t="s">
        <v>414</v>
      </c>
      <c r="B18" s="11" t="s">
        <v>403</v>
      </c>
      <c r="C18" s="11" t="s">
        <v>407</v>
      </c>
      <c r="D18" s="11" t="s">
        <v>104</v>
      </c>
      <c r="E18" s="11" t="s">
        <v>384</v>
      </c>
      <c r="F18" s="11">
        <v>1</v>
      </c>
      <c r="G18" s="11" t="s">
        <v>415</v>
      </c>
      <c r="H18" s="11" t="s">
        <v>196</v>
      </c>
      <c r="I18" s="11">
        <v>1</v>
      </c>
      <c r="J18" s="11" t="s">
        <v>399</v>
      </c>
      <c r="K18" s="11" t="s">
        <v>38</v>
      </c>
      <c r="L18" s="11" t="s">
        <v>70</v>
      </c>
      <c r="M18" s="11"/>
    </row>
    <row r="19" spans="1:13" x14ac:dyDescent="0.45">
      <c r="A19" s="11" t="s">
        <v>416</v>
      </c>
      <c r="B19" s="11" t="s">
        <v>405</v>
      </c>
      <c r="C19" s="11" t="s">
        <v>407</v>
      </c>
      <c r="D19" s="11" t="s">
        <v>104</v>
      </c>
      <c r="E19" s="11" t="s">
        <v>384</v>
      </c>
      <c r="F19" s="11">
        <v>1</v>
      </c>
      <c r="G19" s="11" t="s">
        <v>415</v>
      </c>
      <c r="H19" s="11" t="s">
        <v>196</v>
      </c>
      <c r="I19" s="11">
        <v>2</v>
      </c>
      <c r="J19" s="11" t="s">
        <v>399</v>
      </c>
      <c r="K19" s="11" t="s">
        <v>38</v>
      </c>
      <c r="L19" s="11" t="s">
        <v>70</v>
      </c>
      <c r="M19" s="11"/>
    </row>
    <row r="20" spans="1:13" ht="25.5" x14ac:dyDescent="0.45">
      <c r="A20" s="11" t="s">
        <v>417</v>
      </c>
      <c r="B20" s="11" t="s">
        <v>382</v>
      </c>
      <c r="C20" s="11" t="s">
        <v>418</v>
      </c>
      <c r="D20" s="11" t="s">
        <v>104</v>
      </c>
      <c r="E20" s="11" t="s">
        <v>384</v>
      </c>
      <c r="F20" s="11">
        <v>1</v>
      </c>
      <c r="G20" s="11" t="s">
        <v>415</v>
      </c>
      <c r="H20" s="11" t="s">
        <v>196</v>
      </c>
      <c r="I20" s="11">
        <v>3</v>
      </c>
      <c r="J20" s="11" t="s">
        <v>3</v>
      </c>
      <c r="K20" s="11" t="s">
        <v>3</v>
      </c>
      <c r="L20" s="11" t="s">
        <v>70</v>
      </c>
      <c r="M20" s="11"/>
    </row>
    <row r="21" spans="1:13" ht="25.5" x14ac:dyDescent="0.45">
      <c r="A21" s="11" t="s">
        <v>419</v>
      </c>
      <c r="B21" s="11" t="s">
        <v>387</v>
      </c>
      <c r="C21" s="11" t="s">
        <v>418</v>
      </c>
      <c r="D21" s="11" t="s">
        <v>104</v>
      </c>
      <c r="E21" s="11" t="s">
        <v>384</v>
      </c>
      <c r="F21" s="11">
        <v>1</v>
      </c>
      <c r="G21" s="11" t="s">
        <v>415</v>
      </c>
      <c r="H21" s="11" t="s">
        <v>196</v>
      </c>
      <c r="I21" s="11">
        <v>4</v>
      </c>
      <c r="J21" s="11" t="s">
        <v>3</v>
      </c>
      <c r="K21" s="11" t="s">
        <v>3</v>
      </c>
      <c r="L21" s="11" t="s">
        <v>70</v>
      </c>
      <c r="M21" s="11"/>
    </row>
    <row r="22" spans="1:13" ht="25.5" x14ac:dyDescent="0.45">
      <c r="A22" s="11" t="s">
        <v>420</v>
      </c>
      <c r="B22" s="11" t="s">
        <v>389</v>
      </c>
      <c r="C22" s="11" t="s">
        <v>418</v>
      </c>
      <c r="D22" s="11" t="s">
        <v>104</v>
      </c>
      <c r="E22" s="11" t="s">
        <v>384</v>
      </c>
      <c r="F22" s="11">
        <v>1</v>
      </c>
      <c r="G22" s="11" t="s">
        <v>415</v>
      </c>
      <c r="H22" s="11" t="s">
        <v>196</v>
      </c>
      <c r="I22" s="11">
        <v>5</v>
      </c>
      <c r="J22" s="11" t="s">
        <v>390</v>
      </c>
      <c r="K22" s="11" t="s">
        <v>36</v>
      </c>
      <c r="L22" s="11" t="s">
        <v>70</v>
      </c>
      <c r="M22" s="11"/>
    </row>
    <row r="23" spans="1:13" ht="25.5" x14ac:dyDescent="0.45">
      <c r="A23" s="11" t="s">
        <v>421</v>
      </c>
      <c r="B23" s="11" t="s">
        <v>392</v>
      </c>
      <c r="C23" s="11" t="s">
        <v>418</v>
      </c>
      <c r="D23" s="11" t="s">
        <v>104</v>
      </c>
      <c r="E23" s="11" t="s">
        <v>384</v>
      </c>
      <c r="F23" s="11">
        <v>1</v>
      </c>
      <c r="G23" s="11" t="s">
        <v>415</v>
      </c>
      <c r="H23" s="11" t="s">
        <v>196</v>
      </c>
      <c r="I23" s="11">
        <v>6</v>
      </c>
      <c r="J23" s="11" t="s">
        <v>3</v>
      </c>
      <c r="K23" s="11" t="s">
        <v>3</v>
      </c>
      <c r="L23" s="11" t="s">
        <v>70</v>
      </c>
      <c r="M23" s="11" t="s">
        <v>393</v>
      </c>
    </row>
    <row r="24" spans="1:13" ht="25.5" x14ac:dyDescent="0.45">
      <c r="A24" s="11" t="s">
        <v>422</v>
      </c>
      <c r="B24" s="11" t="s">
        <v>395</v>
      </c>
      <c r="C24" s="11" t="s">
        <v>418</v>
      </c>
      <c r="D24" s="11" t="s">
        <v>104</v>
      </c>
      <c r="E24" s="11" t="s">
        <v>384</v>
      </c>
      <c r="F24" s="11">
        <v>1</v>
      </c>
      <c r="G24" s="11" t="s">
        <v>415</v>
      </c>
      <c r="H24" s="11" t="s">
        <v>196</v>
      </c>
      <c r="I24" s="11">
        <v>7</v>
      </c>
      <c r="J24" s="11" t="s">
        <v>3</v>
      </c>
      <c r="K24" s="11" t="s">
        <v>3</v>
      </c>
      <c r="L24" s="11" t="s">
        <v>70</v>
      </c>
      <c r="M24" s="11" t="s">
        <v>396</v>
      </c>
    </row>
    <row r="25" spans="1:13" ht="25.5" x14ac:dyDescent="0.45">
      <c r="A25" s="11" t="s">
        <v>423</v>
      </c>
      <c r="B25" s="11" t="s">
        <v>398</v>
      </c>
      <c r="C25" s="11" t="s">
        <v>418</v>
      </c>
      <c r="D25" s="11" t="s">
        <v>104</v>
      </c>
      <c r="E25" s="11" t="s">
        <v>384</v>
      </c>
      <c r="F25" s="11">
        <v>1</v>
      </c>
      <c r="G25" s="11" t="s">
        <v>415</v>
      </c>
      <c r="H25" s="11" t="s">
        <v>196</v>
      </c>
      <c r="I25" s="11">
        <v>8</v>
      </c>
      <c r="J25" s="11" t="s">
        <v>399</v>
      </c>
      <c r="K25" s="11" t="s">
        <v>40</v>
      </c>
      <c r="L25" s="11" t="s">
        <v>70</v>
      </c>
      <c r="M25" s="11"/>
    </row>
    <row r="26" spans="1:13" ht="25.5" x14ac:dyDescent="0.45">
      <c r="A26" s="11" t="s">
        <v>424</v>
      </c>
      <c r="B26" s="11" t="s">
        <v>401</v>
      </c>
      <c r="C26" s="11" t="s">
        <v>418</v>
      </c>
      <c r="D26" s="11" t="s">
        <v>104</v>
      </c>
      <c r="E26" s="11" t="s">
        <v>384</v>
      </c>
      <c r="F26" s="11">
        <v>1</v>
      </c>
      <c r="G26" s="11" t="s">
        <v>415</v>
      </c>
      <c r="H26" s="11" t="s">
        <v>196</v>
      </c>
      <c r="I26" s="11">
        <v>9</v>
      </c>
      <c r="J26" s="11" t="s">
        <v>390</v>
      </c>
      <c r="K26" s="11" t="s">
        <v>38</v>
      </c>
      <c r="L26" s="11" t="s">
        <v>70</v>
      </c>
      <c r="M26" s="11"/>
    </row>
    <row r="27" spans="1:13" ht="25.5" x14ac:dyDescent="0.45">
      <c r="A27" s="11" t="s">
        <v>425</v>
      </c>
      <c r="B27" s="11" t="s">
        <v>403</v>
      </c>
      <c r="C27" s="11" t="s">
        <v>418</v>
      </c>
      <c r="D27" s="11" t="s">
        <v>104</v>
      </c>
      <c r="E27" s="11" t="s">
        <v>384</v>
      </c>
      <c r="F27" s="11">
        <v>1</v>
      </c>
      <c r="G27" s="11" t="s">
        <v>415</v>
      </c>
      <c r="H27" s="11" t="s">
        <v>196</v>
      </c>
      <c r="I27" s="11">
        <v>10</v>
      </c>
      <c r="J27" s="11" t="s">
        <v>399</v>
      </c>
      <c r="K27" s="11" t="s">
        <v>38</v>
      </c>
      <c r="L27" s="11" t="s">
        <v>70</v>
      </c>
      <c r="M27" s="11"/>
    </row>
    <row r="28" spans="1:13" ht="25.5" x14ac:dyDescent="0.45">
      <c r="A28" s="11" t="s">
        <v>426</v>
      </c>
      <c r="B28" s="11" t="s">
        <v>405</v>
      </c>
      <c r="C28" s="11" t="s">
        <v>418</v>
      </c>
      <c r="D28" s="11" t="s">
        <v>104</v>
      </c>
      <c r="E28" s="11" t="s">
        <v>384</v>
      </c>
      <c r="F28" s="11">
        <v>1</v>
      </c>
      <c r="G28" s="11" t="s">
        <v>415</v>
      </c>
      <c r="H28" s="11" t="s">
        <v>196</v>
      </c>
      <c r="I28" s="11">
        <v>11</v>
      </c>
      <c r="J28" s="11" t="s">
        <v>399</v>
      </c>
      <c r="K28" s="11" t="s">
        <v>38</v>
      </c>
      <c r="L28" s="11" t="s">
        <v>70</v>
      </c>
      <c r="M28" s="11"/>
    </row>
    <row r="29" spans="1:13" ht="25.5" x14ac:dyDescent="0.45">
      <c r="A29" s="11" t="s">
        <v>427</v>
      </c>
      <c r="B29" s="11" t="s">
        <v>382</v>
      </c>
      <c r="C29" s="11" t="s">
        <v>428</v>
      </c>
      <c r="D29" s="11" t="s">
        <v>104</v>
      </c>
      <c r="E29" s="11" t="s">
        <v>384</v>
      </c>
      <c r="F29" s="11">
        <v>1</v>
      </c>
      <c r="G29" s="11" t="s">
        <v>415</v>
      </c>
      <c r="H29" s="11" t="s">
        <v>196</v>
      </c>
      <c r="I29" s="11">
        <v>12</v>
      </c>
      <c r="J29" s="11" t="s">
        <v>3</v>
      </c>
      <c r="K29" s="11" t="s">
        <v>3</v>
      </c>
      <c r="L29" s="11" t="s">
        <v>70</v>
      </c>
      <c r="M29" s="11"/>
    </row>
    <row r="30" spans="1:13" ht="25.5" x14ac:dyDescent="0.45">
      <c r="A30" s="11" t="s">
        <v>429</v>
      </c>
      <c r="B30" s="11" t="s">
        <v>387</v>
      </c>
      <c r="C30" s="11" t="s">
        <v>428</v>
      </c>
      <c r="D30" s="11" t="s">
        <v>104</v>
      </c>
      <c r="E30" s="11" t="s">
        <v>384</v>
      </c>
      <c r="F30" s="11">
        <v>1</v>
      </c>
      <c r="G30" s="11" t="s">
        <v>415</v>
      </c>
      <c r="H30" s="11" t="s">
        <v>196</v>
      </c>
      <c r="I30" s="11">
        <v>13</v>
      </c>
      <c r="J30" s="11" t="s">
        <v>3</v>
      </c>
      <c r="K30" s="11" t="s">
        <v>3</v>
      </c>
      <c r="L30" s="11" t="s">
        <v>70</v>
      </c>
      <c r="M30" s="11"/>
    </row>
    <row r="31" spans="1:13" ht="25.5" x14ac:dyDescent="0.45">
      <c r="A31" s="11" t="s">
        <v>430</v>
      </c>
      <c r="B31" s="11" t="s">
        <v>389</v>
      </c>
      <c r="C31" s="11" t="s">
        <v>428</v>
      </c>
      <c r="D31" s="11" t="s">
        <v>104</v>
      </c>
      <c r="E31" s="11" t="s">
        <v>384</v>
      </c>
      <c r="F31" s="11">
        <v>1</v>
      </c>
      <c r="G31" s="11" t="s">
        <v>415</v>
      </c>
      <c r="H31" s="11" t="s">
        <v>196</v>
      </c>
      <c r="I31" s="11">
        <v>14</v>
      </c>
      <c r="J31" s="11" t="s">
        <v>390</v>
      </c>
      <c r="K31" s="11" t="s">
        <v>36</v>
      </c>
      <c r="L31" s="11" t="s">
        <v>70</v>
      </c>
      <c r="M31" s="11"/>
    </row>
    <row r="32" spans="1:13" ht="25.5" x14ac:dyDescent="0.45">
      <c r="A32" s="11" t="s">
        <v>431</v>
      </c>
      <c r="B32" s="11" t="s">
        <v>392</v>
      </c>
      <c r="C32" s="11" t="s">
        <v>428</v>
      </c>
      <c r="D32" s="11" t="s">
        <v>104</v>
      </c>
      <c r="E32" s="11" t="s">
        <v>384</v>
      </c>
      <c r="F32" s="11">
        <v>1</v>
      </c>
      <c r="G32" s="11" t="s">
        <v>415</v>
      </c>
      <c r="H32" s="11" t="s">
        <v>196</v>
      </c>
      <c r="I32" s="11">
        <v>15</v>
      </c>
      <c r="J32" s="11" t="s">
        <v>3</v>
      </c>
      <c r="K32" s="11" t="s">
        <v>3</v>
      </c>
      <c r="L32" s="11" t="s">
        <v>70</v>
      </c>
      <c r="M32" s="11" t="s">
        <v>393</v>
      </c>
    </row>
    <row r="33" spans="1:13" ht="25.5" x14ac:dyDescent="0.45">
      <c r="A33" s="11" t="s">
        <v>432</v>
      </c>
      <c r="B33" s="11" t="s">
        <v>395</v>
      </c>
      <c r="C33" s="11" t="s">
        <v>428</v>
      </c>
      <c r="D33" s="11" t="s">
        <v>104</v>
      </c>
      <c r="E33" s="11" t="s">
        <v>384</v>
      </c>
      <c r="F33" s="11">
        <v>1</v>
      </c>
      <c r="G33" s="11" t="s">
        <v>415</v>
      </c>
      <c r="H33" s="11" t="s">
        <v>196</v>
      </c>
      <c r="I33" s="11">
        <v>16</v>
      </c>
      <c r="J33" s="11" t="s">
        <v>3</v>
      </c>
      <c r="K33" s="11" t="s">
        <v>3</v>
      </c>
      <c r="L33" s="11" t="s">
        <v>70</v>
      </c>
      <c r="M33" s="11" t="s">
        <v>396</v>
      </c>
    </row>
    <row r="34" spans="1:13" ht="25.5" x14ac:dyDescent="0.45">
      <c r="A34" s="11" t="s">
        <v>433</v>
      </c>
      <c r="B34" s="11" t="s">
        <v>398</v>
      </c>
      <c r="C34" s="11" t="s">
        <v>428</v>
      </c>
      <c r="D34" s="11" t="s">
        <v>104</v>
      </c>
      <c r="E34" s="11" t="s">
        <v>384</v>
      </c>
      <c r="F34" s="11">
        <v>1</v>
      </c>
      <c r="G34" s="11" t="s">
        <v>434</v>
      </c>
      <c r="H34" s="11" t="s">
        <v>196</v>
      </c>
      <c r="I34" s="11">
        <v>1</v>
      </c>
      <c r="J34" s="11" t="s">
        <v>399</v>
      </c>
      <c r="K34" s="11" t="s">
        <v>40</v>
      </c>
      <c r="L34" s="11" t="s">
        <v>70</v>
      </c>
      <c r="M34" s="11"/>
    </row>
    <row r="35" spans="1:13" ht="25.5" x14ac:dyDescent="0.45">
      <c r="A35" s="11" t="s">
        <v>435</v>
      </c>
      <c r="B35" s="11" t="s">
        <v>401</v>
      </c>
      <c r="C35" s="11" t="s">
        <v>428</v>
      </c>
      <c r="D35" s="11" t="s">
        <v>104</v>
      </c>
      <c r="E35" s="11" t="s">
        <v>384</v>
      </c>
      <c r="F35" s="11">
        <v>1</v>
      </c>
      <c r="G35" s="11" t="s">
        <v>434</v>
      </c>
      <c r="H35" s="11" t="s">
        <v>196</v>
      </c>
      <c r="I35" s="11">
        <v>2</v>
      </c>
      <c r="J35" s="11" t="s">
        <v>390</v>
      </c>
      <c r="K35" s="11" t="s">
        <v>38</v>
      </c>
      <c r="L35" s="11" t="s">
        <v>70</v>
      </c>
      <c r="M35" s="11"/>
    </row>
    <row r="36" spans="1:13" ht="25.5" x14ac:dyDescent="0.45">
      <c r="A36" s="11" t="s">
        <v>436</v>
      </c>
      <c r="B36" s="11" t="s">
        <v>403</v>
      </c>
      <c r="C36" s="11" t="s">
        <v>428</v>
      </c>
      <c r="D36" s="11" t="s">
        <v>104</v>
      </c>
      <c r="E36" s="11" t="s">
        <v>384</v>
      </c>
      <c r="F36" s="11">
        <v>1</v>
      </c>
      <c r="G36" s="11" t="s">
        <v>434</v>
      </c>
      <c r="H36" s="11" t="s">
        <v>196</v>
      </c>
      <c r="I36" s="11">
        <v>3</v>
      </c>
      <c r="J36" s="11" t="s">
        <v>399</v>
      </c>
      <c r="K36" s="11" t="s">
        <v>38</v>
      </c>
      <c r="L36" s="11" t="s">
        <v>70</v>
      </c>
      <c r="M36" s="11"/>
    </row>
    <row r="37" spans="1:13" ht="25.5" x14ac:dyDescent="0.45">
      <c r="A37" s="11" t="s">
        <v>437</v>
      </c>
      <c r="B37" s="11" t="s">
        <v>405</v>
      </c>
      <c r="C37" s="11" t="s">
        <v>428</v>
      </c>
      <c r="D37" s="11" t="s">
        <v>104</v>
      </c>
      <c r="E37" s="11" t="s">
        <v>384</v>
      </c>
      <c r="F37" s="11">
        <v>1</v>
      </c>
      <c r="G37" s="11" t="s">
        <v>434</v>
      </c>
      <c r="H37" s="11" t="s">
        <v>196</v>
      </c>
      <c r="I37" s="11">
        <v>4</v>
      </c>
      <c r="J37" s="11" t="s">
        <v>399</v>
      </c>
      <c r="K37" s="11" t="s">
        <v>38</v>
      </c>
      <c r="L37" s="11" t="s">
        <v>70</v>
      </c>
      <c r="M37" s="11"/>
    </row>
    <row r="38" spans="1:13" ht="25.5" x14ac:dyDescent="0.45">
      <c r="A38" s="11" t="s">
        <v>438</v>
      </c>
      <c r="B38" s="11" t="s">
        <v>382</v>
      </c>
      <c r="C38" s="11" t="s">
        <v>439</v>
      </c>
      <c r="D38" s="11" t="s">
        <v>104</v>
      </c>
      <c r="E38" s="11" t="s">
        <v>384</v>
      </c>
      <c r="F38" s="11">
        <v>1</v>
      </c>
      <c r="G38" s="11" t="s">
        <v>434</v>
      </c>
      <c r="H38" s="11" t="s">
        <v>196</v>
      </c>
      <c r="I38" s="11">
        <v>5</v>
      </c>
      <c r="J38" s="11" t="s">
        <v>3</v>
      </c>
      <c r="K38" s="11" t="s">
        <v>3</v>
      </c>
      <c r="L38" s="11" t="s">
        <v>70</v>
      </c>
      <c r="M38" s="11"/>
    </row>
    <row r="39" spans="1:13" ht="25.5" x14ac:dyDescent="0.45">
      <c r="A39" s="11" t="s">
        <v>440</v>
      </c>
      <c r="B39" s="11" t="s">
        <v>387</v>
      </c>
      <c r="C39" s="11" t="s">
        <v>439</v>
      </c>
      <c r="D39" s="11" t="s">
        <v>104</v>
      </c>
      <c r="E39" s="11" t="s">
        <v>384</v>
      </c>
      <c r="F39" s="11">
        <v>1</v>
      </c>
      <c r="G39" s="11" t="s">
        <v>434</v>
      </c>
      <c r="H39" s="11" t="s">
        <v>196</v>
      </c>
      <c r="I39" s="11">
        <v>6</v>
      </c>
      <c r="J39" s="11" t="s">
        <v>3</v>
      </c>
      <c r="K39" s="11" t="s">
        <v>3</v>
      </c>
      <c r="L39" s="11" t="s">
        <v>70</v>
      </c>
      <c r="M39" s="11"/>
    </row>
    <row r="40" spans="1:13" ht="25.5" x14ac:dyDescent="0.45">
      <c r="A40" s="11" t="s">
        <v>441</v>
      </c>
      <c r="B40" s="11" t="s">
        <v>389</v>
      </c>
      <c r="C40" s="11" t="s">
        <v>439</v>
      </c>
      <c r="D40" s="11" t="s">
        <v>104</v>
      </c>
      <c r="E40" s="11" t="s">
        <v>384</v>
      </c>
      <c r="F40" s="11">
        <v>1</v>
      </c>
      <c r="G40" s="11" t="s">
        <v>434</v>
      </c>
      <c r="H40" s="11" t="s">
        <v>196</v>
      </c>
      <c r="I40" s="11">
        <v>7</v>
      </c>
      <c r="J40" s="11" t="s">
        <v>390</v>
      </c>
      <c r="K40" s="11" t="s">
        <v>36</v>
      </c>
      <c r="L40" s="11" t="s">
        <v>70</v>
      </c>
      <c r="M40" s="11"/>
    </row>
    <row r="41" spans="1:13" ht="25.5" x14ac:dyDescent="0.45">
      <c r="A41" s="11" t="s">
        <v>442</v>
      </c>
      <c r="B41" s="11" t="s">
        <v>392</v>
      </c>
      <c r="C41" s="11" t="s">
        <v>439</v>
      </c>
      <c r="D41" s="11" t="s">
        <v>104</v>
      </c>
      <c r="E41" s="11" t="s">
        <v>384</v>
      </c>
      <c r="F41" s="11">
        <v>1</v>
      </c>
      <c r="G41" s="11" t="s">
        <v>434</v>
      </c>
      <c r="H41" s="11" t="s">
        <v>196</v>
      </c>
      <c r="I41" s="11">
        <v>8</v>
      </c>
      <c r="J41" s="11" t="s">
        <v>3</v>
      </c>
      <c r="K41" s="11" t="s">
        <v>3</v>
      </c>
      <c r="L41" s="11" t="s">
        <v>70</v>
      </c>
      <c r="M41" s="11" t="s">
        <v>393</v>
      </c>
    </row>
    <row r="42" spans="1:13" ht="25.5" x14ac:dyDescent="0.45">
      <c r="A42" s="11" t="s">
        <v>443</v>
      </c>
      <c r="B42" s="11" t="s">
        <v>395</v>
      </c>
      <c r="C42" s="11" t="s">
        <v>439</v>
      </c>
      <c r="D42" s="11" t="s">
        <v>104</v>
      </c>
      <c r="E42" s="11" t="s">
        <v>384</v>
      </c>
      <c r="F42" s="11">
        <v>1</v>
      </c>
      <c r="G42" s="11" t="s">
        <v>434</v>
      </c>
      <c r="H42" s="11" t="s">
        <v>196</v>
      </c>
      <c r="I42" s="11">
        <v>9</v>
      </c>
      <c r="J42" s="11" t="s">
        <v>3</v>
      </c>
      <c r="K42" s="11" t="s">
        <v>3</v>
      </c>
      <c r="L42" s="11" t="s">
        <v>70</v>
      </c>
      <c r="M42" s="11" t="s">
        <v>396</v>
      </c>
    </row>
    <row r="43" spans="1:13" ht="25.5" x14ac:dyDescent="0.45">
      <c r="A43" s="11" t="s">
        <v>444</v>
      </c>
      <c r="B43" s="11" t="s">
        <v>398</v>
      </c>
      <c r="C43" s="11" t="s">
        <v>439</v>
      </c>
      <c r="D43" s="11" t="s">
        <v>104</v>
      </c>
      <c r="E43" s="11" t="s">
        <v>384</v>
      </c>
      <c r="F43" s="11">
        <v>1</v>
      </c>
      <c r="G43" s="11" t="s">
        <v>434</v>
      </c>
      <c r="H43" s="11" t="s">
        <v>196</v>
      </c>
      <c r="I43" s="11">
        <v>10</v>
      </c>
      <c r="J43" s="11" t="s">
        <v>399</v>
      </c>
      <c r="K43" s="11" t="s">
        <v>40</v>
      </c>
      <c r="L43" s="11" t="s">
        <v>70</v>
      </c>
      <c r="M43" s="11"/>
    </row>
    <row r="44" spans="1:13" ht="25.5" x14ac:dyDescent="0.45">
      <c r="A44" s="11" t="s">
        <v>445</v>
      </c>
      <c r="B44" s="11" t="s">
        <v>401</v>
      </c>
      <c r="C44" s="11" t="s">
        <v>439</v>
      </c>
      <c r="D44" s="11" t="s">
        <v>104</v>
      </c>
      <c r="E44" s="11" t="s">
        <v>384</v>
      </c>
      <c r="F44" s="11">
        <v>1</v>
      </c>
      <c r="G44" s="11" t="s">
        <v>434</v>
      </c>
      <c r="H44" s="11" t="s">
        <v>196</v>
      </c>
      <c r="I44" s="11">
        <v>11</v>
      </c>
      <c r="J44" s="11" t="s">
        <v>390</v>
      </c>
      <c r="K44" s="11" t="s">
        <v>38</v>
      </c>
      <c r="L44" s="11" t="s">
        <v>70</v>
      </c>
      <c r="M44" s="11"/>
    </row>
    <row r="45" spans="1:13" ht="25.5" x14ac:dyDescent="0.45">
      <c r="A45" s="11" t="s">
        <v>446</v>
      </c>
      <c r="B45" s="11" t="s">
        <v>403</v>
      </c>
      <c r="C45" s="11" t="s">
        <v>439</v>
      </c>
      <c r="D45" s="11" t="s">
        <v>104</v>
      </c>
      <c r="E45" s="11" t="s">
        <v>384</v>
      </c>
      <c r="F45" s="11">
        <v>1</v>
      </c>
      <c r="G45" s="11" t="s">
        <v>434</v>
      </c>
      <c r="H45" s="11" t="s">
        <v>196</v>
      </c>
      <c r="I45" s="11">
        <v>12</v>
      </c>
      <c r="J45" s="11" t="s">
        <v>399</v>
      </c>
      <c r="K45" s="11" t="s">
        <v>38</v>
      </c>
      <c r="L45" s="11" t="s">
        <v>70</v>
      </c>
      <c r="M45" s="11"/>
    </row>
    <row r="46" spans="1:13" ht="25.5" x14ac:dyDescent="0.45">
      <c r="A46" s="11" t="s">
        <v>447</v>
      </c>
      <c r="B46" s="11" t="s">
        <v>405</v>
      </c>
      <c r="C46" s="11" t="s">
        <v>439</v>
      </c>
      <c r="D46" s="11" t="s">
        <v>104</v>
      </c>
      <c r="E46" s="11" t="s">
        <v>384</v>
      </c>
      <c r="F46" s="11">
        <v>1</v>
      </c>
      <c r="G46" s="11" t="s">
        <v>434</v>
      </c>
      <c r="H46" s="11" t="s">
        <v>196</v>
      </c>
      <c r="I46" s="11">
        <v>13</v>
      </c>
      <c r="J46" s="11" t="s">
        <v>399</v>
      </c>
      <c r="K46" s="11" t="s">
        <v>38</v>
      </c>
      <c r="L46" s="11" t="s">
        <v>70</v>
      </c>
      <c r="M46" s="11"/>
    </row>
    <row r="47" spans="1:13" ht="25.5" x14ac:dyDescent="0.45">
      <c r="A47" s="11" t="s">
        <v>448</v>
      </c>
      <c r="B47" s="11" t="s">
        <v>382</v>
      </c>
      <c r="C47" s="11" t="s">
        <v>449</v>
      </c>
      <c r="D47" s="11" t="s">
        <v>104</v>
      </c>
      <c r="E47" s="11" t="s">
        <v>384</v>
      </c>
      <c r="F47" s="11">
        <v>1</v>
      </c>
      <c r="G47" s="11" t="s">
        <v>434</v>
      </c>
      <c r="H47" s="11" t="s">
        <v>196</v>
      </c>
      <c r="I47" s="11">
        <v>14</v>
      </c>
      <c r="J47" s="11" t="s">
        <v>3</v>
      </c>
      <c r="K47" s="11" t="s">
        <v>3</v>
      </c>
      <c r="L47" s="11" t="s">
        <v>70</v>
      </c>
      <c r="M47" s="11"/>
    </row>
    <row r="48" spans="1:13" ht="25.5" x14ac:dyDescent="0.45">
      <c r="A48" s="11" t="s">
        <v>450</v>
      </c>
      <c r="B48" s="11" t="s">
        <v>387</v>
      </c>
      <c r="C48" s="11" t="s">
        <v>449</v>
      </c>
      <c r="D48" s="11" t="s">
        <v>104</v>
      </c>
      <c r="E48" s="11" t="s">
        <v>384</v>
      </c>
      <c r="F48" s="11">
        <v>1</v>
      </c>
      <c r="G48" s="11" t="s">
        <v>434</v>
      </c>
      <c r="H48" s="11" t="s">
        <v>196</v>
      </c>
      <c r="I48" s="11">
        <v>15</v>
      </c>
      <c r="J48" s="11" t="s">
        <v>3</v>
      </c>
      <c r="K48" s="11" t="s">
        <v>3</v>
      </c>
      <c r="L48" s="11" t="s">
        <v>70</v>
      </c>
      <c r="M48" s="11"/>
    </row>
    <row r="49" spans="1:13" ht="25.5" x14ac:dyDescent="0.45">
      <c r="A49" s="11" t="s">
        <v>451</v>
      </c>
      <c r="B49" s="11" t="s">
        <v>389</v>
      </c>
      <c r="C49" s="11" t="s">
        <v>449</v>
      </c>
      <c r="D49" s="11" t="s">
        <v>104</v>
      </c>
      <c r="E49" s="11" t="s">
        <v>384</v>
      </c>
      <c r="F49" s="11">
        <v>1</v>
      </c>
      <c r="G49" s="11" t="s">
        <v>434</v>
      </c>
      <c r="H49" s="11" t="s">
        <v>196</v>
      </c>
      <c r="I49" s="11">
        <v>16</v>
      </c>
      <c r="J49" s="11" t="s">
        <v>390</v>
      </c>
      <c r="K49" s="11" t="s">
        <v>36</v>
      </c>
      <c r="L49" s="11" t="s">
        <v>70</v>
      </c>
      <c r="M49" s="11"/>
    </row>
    <row r="50" spans="1:13" ht="25.5" x14ac:dyDescent="0.45">
      <c r="A50" s="11" t="s">
        <v>452</v>
      </c>
      <c r="B50" s="11" t="s">
        <v>392</v>
      </c>
      <c r="C50" s="11" t="s">
        <v>449</v>
      </c>
      <c r="D50" s="11" t="s">
        <v>104</v>
      </c>
      <c r="E50" s="11" t="s">
        <v>384</v>
      </c>
      <c r="F50" s="11">
        <v>1</v>
      </c>
      <c r="G50" s="11" t="s">
        <v>453</v>
      </c>
      <c r="H50" s="11" t="s">
        <v>196</v>
      </c>
      <c r="I50" s="11">
        <v>1</v>
      </c>
      <c r="J50" s="11" t="s">
        <v>3</v>
      </c>
      <c r="K50" s="11" t="s">
        <v>3</v>
      </c>
      <c r="L50" s="11" t="s">
        <v>70</v>
      </c>
      <c r="M50" s="11" t="s">
        <v>393</v>
      </c>
    </row>
    <row r="51" spans="1:13" ht="25.5" x14ac:dyDescent="0.45">
      <c r="A51" s="11" t="s">
        <v>454</v>
      </c>
      <c r="B51" s="11" t="s">
        <v>395</v>
      </c>
      <c r="C51" s="11" t="s">
        <v>449</v>
      </c>
      <c r="D51" s="11" t="s">
        <v>104</v>
      </c>
      <c r="E51" s="11" t="s">
        <v>384</v>
      </c>
      <c r="F51" s="11">
        <v>1</v>
      </c>
      <c r="G51" s="11" t="s">
        <v>453</v>
      </c>
      <c r="H51" s="11" t="s">
        <v>196</v>
      </c>
      <c r="I51" s="11">
        <v>2</v>
      </c>
      <c r="J51" s="11" t="s">
        <v>3</v>
      </c>
      <c r="K51" s="11" t="s">
        <v>3</v>
      </c>
      <c r="L51" s="11" t="s">
        <v>70</v>
      </c>
      <c r="M51" s="11" t="s">
        <v>396</v>
      </c>
    </row>
    <row r="52" spans="1:13" ht="25.5" x14ac:dyDescent="0.45">
      <c r="A52" s="11" t="s">
        <v>455</v>
      </c>
      <c r="B52" s="11" t="s">
        <v>398</v>
      </c>
      <c r="C52" s="11" t="s">
        <v>449</v>
      </c>
      <c r="D52" s="11" t="s">
        <v>104</v>
      </c>
      <c r="E52" s="11" t="s">
        <v>384</v>
      </c>
      <c r="F52" s="11">
        <v>1</v>
      </c>
      <c r="G52" s="11" t="s">
        <v>453</v>
      </c>
      <c r="H52" s="11" t="s">
        <v>196</v>
      </c>
      <c r="I52" s="11">
        <v>3</v>
      </c>
      <c r="J52" s="11" t="s">
        <v>399</v>
      </c>
      <c r="K52" s="11" t="s">
        <v>40</v>
      </c>
      <c r="L52" s="11" t="s">
        <v>70</v>
      </c>
      <c r="M52" s="11"/>
    </row>
    <row r="53" spans="1:13" ht="25.5" x14ac:dyDescent="0.45">
      <c r="A53" s="11" t="s">
        <v>456</v>
      </c>
      <c r="B53" s="11" t="s">
        <v>401</v>
      </c>
      <c r="C53" s="11" t="s">
        <v>449</v>
      </c>
      <c r="D53" s="11" t="s">
        <v>104</v>
      </c>
      <c r="E53" s="11" t="s">
        <v>384</v>
      </c>
      <c r="F53" s="11">
        <v>1</v>
      </c>
      <c r="G53" s="11" t="s">
        <v>453</v>
      </c>
      <c r="H53" s="11" t="s">
        <v>196</v>
      </c>
      <c r="I53" s="11">
        <v>4</v>
      </c>
      <c r="J53" s="11" t="s">
        <v>390</v>
      </c>
      <c r="K53" s="11" t="s">
        <v>38</v>
      </c>
      <c r="L53" s="11" t="s">
        <v>70</v>
      </c>
      <c r="M53" s="11"/>
    </row>
    <row r="54" spans="1:13" ht="25.5" x14ac:dyDescent="0.45">
      <c r="A54" s="11" t="s">
        <v>457</v>
      </c>
      <c r="B54" s="11" t="s">
        <v>403</v>
      </c>
      <c r="C54" s="11" t="s">
        <v>449</v>
      </c>
      <c r="D54" s="11" t="s">
        <v>104</v>
      </c>
      <c r="E54" s="11" t="s">
        <v>384</v>
      </c>
      <c r="F54" s="11">
        <v>1</v>
      </c>
      <c r="G54" s="11" t="s">
        <v>453</v>
      </c>
      <c r="H54" s="11" t="s">
        <v>196</v>
      </c>
      <c r="I54" s="11">
        <v>5</v>
      </c>
      <c r="J54" s="11" t="s">
        <v>399</v>
      </c>
      <c r="K54" s="11" t="s">
        <v>38</v>
      </c>
      <c r="L54" s="11" t="s">
        <v>70</v>
      </c>
      <c r="M54" s="11"/>
    </row>
    <row r="55" spans="1:13" ht="25.5" x14ac:dyDescent="0.45">
      <c r="A55" s="11" t="s">
        <v>458</v>
      </c>
      <c r="B55" s="11" t="s">
        <v>405</v>
      </c>
      <c r="C55" s="11" t="s">
        <v>449</v>
      </c>
      <c r="D55" s="11" t="s">
        <v>104</v>
      </c>
      <c r="E55" s="11" t="s">
        <v>384</v>
      </c>
      <c r="F55" s="11">
        <v>1</v>
      </c>
      <c r="G55" s="11" t="s">
        <v>453</v>
      </c>
      <c r="H55" s="11" t="s">
        <v>196</v>
      </c>
      <c r="I55" s="11">
        <v>6</v>
      </c>
      <c r="J55" s="11" t="s">
        <v>399</v>
      </c>
      <c r="K55" s="11" t="s">
        <v>38</v>
      </c>
      <c r="L55" s="11" t="s">
        <v>70</v>
      </c>
      <c r="M55" s="11"/>
    </row>
    <row r="56" spans="1:13" x14ac:dyDescent="0.45">
      <c r="A56" s="11" t="s">
        <v>459</v>
      </c>
      <c r="B56" s="11" t="s">
        <v>382</v>
      </c>
      <c r="C56" s="11" t="s">
        <v>460</v>
      </c>
      <c r="D56" s="11" t="s">
        <v>104</v>
      </c>
      <c r="E56" s="11" t="s">
        <v>384</v>
      </c>
      <c r="F56" s="11">
        <v>1</v>
      </c>
      <c r="G56" s="11" t="s">
        <v>453</v>
      </c>
      <c r="H56" s="11" t="s">
        <v>196</v>
      </c>
      <c r="I56" s="11">
        <v>7</v>
      </c>
      <c r="J56" s="11" t="s">
        <v>3</v>
      </c>
      <c r="K56" s="11" t="s">
        <v>3</v>
      </c>
      <c r="L56" s="11" t="s">
        <v>70</v>
      </c>
      <c r="M56" s="11"/>
    </row>
    <row r="57" spans="1:13" x14ac:dyDescent="0.45">
      <c r="A57" s="11" t="s">
        <v>461</v>
      </c>
      <c r="B57" s="11" t="s">
        <v>387</v>
      </c>
      <c r="C57" s="11" t="s">
        <v>460</v>
      </c>
      <c r="D57" s="11" t="s">
        <v>104</v>
      </c>
      <c r="E57" s="11" t="s">
        <v>384</v>
      </c>
      <c r="F57" s="11">
        <v>1</v>
      </c>
      <c r="G57" s="11" t="s">
        <v>453</v>
      </c>
      <c r="H57" s="11" t="s">
        <v>196</v>
      </c>
      <c r="I57" s="11">
        <v>8</v>
      </c>
      <c r="J57" s="11" t="s">
        <v>3</v>
      </c>
      <c r="K57" s="11" t="s">
        <v>3</v>
      </c>
      <c r="L57" s="11" t="s">
        <v>70</v>
      </c>
      <c r="M57" s="11"/>
    </row>
    <row r="58" spans="1:13" x14ac:dyDescent="0.45">
      <c r="A58" s="11" t="s">
        <v>462</v>
      </c>
      <c r="B58" s="11" t="s">
        <v>389</v>
      </c>
      <c r="C58" s="11" t="s">
        <v>460</v>
      </c>
      <c r="D58" s="11" t="s">
        <v>104</v>
      </c>
      <c r="E58" s="11" t="s">
        <v>384</v>
      </c>
      <c r="F58" s="11">
        <v>1</v>
      </c>
      <c r="G58" s="11" t="s">
        <v>453</v>
      </c>
      <c r="H58" s="11" t="s">
        <v>196</v>
      </c>
      <c r="I58" s="11">
        <v>9</v>
      </c>
      <c r="J58" s="11" t="s">
        <v>390</v>
      </c>
      <c r="K58" s="11" t="s">
        <v>36</v>
      </c>
      <c r="L58" s="11" t="s">
        <v>70</v>
      </c>
      <c r="M58" s="11"/>
    </row>
    <row r="59" spans="1:13" x14ac:dyDescent="0.45">
      <c r="A59" s="11" t="s">
        <v>463</v>
      </c>
      <c r="B59" s="11" t="s">
        <v>392</v>
      </c>
      <c r="C59" s="11" t="s">
        <v>460</v>
      </c>
      <c r="D59" s="11" t="s">
        <v>104</v>
      </c>
      <c r="E59" s="11" t="s">
        <v>384</v>
      </c>
      <c r="F59" s="11">
        <v>1</v>
      </c>
      <c r="G59" s="11" t="s">
        <v>453</v>
      </c>
      <c r="H59" s="11" t="s">
        <v>196</v>
      </c>
      <c r="I59" s="11">
        <v>10</v>
      </c>
      <c r="J59" s="11" t="s">
        <v>3</v>
      </c>
      <c r="K59" s="11" t="s">
        <v>3</v>
      </c>
      <c r="L59" s="11" t="s">
        <v>70</v>
      </c>
      <c r="M59" s="11" t="s">
        <v>393</v>
      </c>
    </row>
    <row r="60" spans="1:13" ht="25.5" x14ac:dyDescent="0.45">
      <c r="A60" s="11" t="s">
        <v>464</v>
      </c>
      <c r="B60" s="11" t="s">
        <v>395</v>
      </c>
      <c r="C60" s="11" t="s">
        <v>460</v>
      </c>
      <c r="D60" s="11" t="s">
        <v>104</v>
      </c>
      <c r="E60" s="11" t="s">
        <v>384</v>
      </c>
      <c r="F60" s="11">
        <v>1</v>
      </c>
      <c r="G60" s="11" t="s">
        <v>453</v>
      </c>
      <c r="H60" s="11" t="s">
        <v>196</v>
      </c>
      <c r="I60" s="11">
        <v>11</v>
      </c>
      <c r="J60" s="11" t="s">
        <v>3</v>
      </c>
      <c r="K60" s="11" t="s">
        <v>3</v>
      </c>
      <c r="L60" s="11" t="s">
        <v>70</v>
      </c>
      <c r="M60" s="11" t="s">
        <v>396</v>
      </c>
    </row>
    <row r="61" spans="1:13" x14ac:dyDescent="0.45">
      <c r="A61" s="11" t="s">
        <v>465</v>
      </c>
      <c r="B61" s="11" t="s">
        <v>398</v>
      </c>
      <c r="C61" s="11" t="s">
        <v>460</v>
      </c>
      <c r="D61" s="11" t="s">
        <v>104</v>
      </c>
      <c r="E61" s="11" t="s">
        <v>384</v>
      </c>
      <c r="F61" s="11">
        <v>1</v>
      </c>
      <c r="G61" s="11" t="s">
        <v>453</v>
      </c>
      <c r="H61" s="11" t="s">
        <v>196</v>
      </c>
      <c r="I61" s="11">
        <v>12</v>
      </c>
      <c r="J61" s="11" t="s">
        <v>399</v>
      </c>
      <c r="K61" s="11" t="s">
        <v>40</v>
      </c>
      <c r="L61" s="11" t="s">
        <v>70</v>
      </c>
      <c r="M61" s="11"/>
    </row>
    <row r="62" spans="1:13" x14ac:dyDescent="0.45">
      <c r="A62" s="11" t="s">
        <v>466</v>
      </c>
      <c r="B62" s="11" t="s">
        <v>401</v>
      </c>
      <c r="C62" s="11" t="s">
        <v>460</v>
      </c>
      <c r="D62" s="11" t="s">
        <v>104</v>
      </c>
      <c r="E62" s="11" t="s">
        <v>384</v>
      </c>
      <c r="F62" s="11">
        <v>1</v>
      </c>
      <c r="G62" s="11" t="s">
        <v>453</v>
      </c>
      <c r="H62" s="11" t="s">
        <v>196</v>
      </c>
      <c r="I62" s="11">
        <v>13</v>
      </c>
      <c r="J62" s="11" t="s">
        <v>390</v>
      </c>
      <c r="K62" s="11" t="s">
        <v>38</v>
      </c>
      <c r="L62" s="11" t="s">
        <v>70</v>
      </c>
      <c r="M62" s="11"/>
    </row>
    <row r="63" spans="1:13" x14ac:dyDescent="0.45">
      <c r="A63" s="11" t="s">
        <v>467</v>
      </c>
      <c r="B63" s="11" t="s">
        <v>403</v>
      </c>
      <c r="C63" s="11" t="s">
        <v>460</v>
      </c>
      <c r="D63" s="11" t="s">
        <v>104</v>
      </c>
      <c r="E63" s="11" t="s">
        <v>384</v>
      </c>
      <c r="F63" s="11">
        <v>1</v>
      </c>
      <c r="G63" s="11" t="s">
        <v>453</v>
      </c>
      <c r="H63" s="11" t="s">
        <v>196</v>
      </c>
      <c r="I63" s="11">
        <v>14</v>
      </c>
      <c r="J63" s="11" t="s">
        <v>399</v>
      </c>
      <c r="K63" s="11" t="s">
        <v>38</v>
      </c>
      <c r="L63" s="11" t="s">
        <v>70</v>
      </c>
      <c r="M63" s="11"/>
    </row>
    <row r="64" spans="1:13" x14ac:dyDescent="0.45">
      <c r="A64" s="11" t="s">
        <v>468</v>
      </c>
      <c r="B64" s="11" t="s">
        <v>405</v>
      </c>
      <c r="C64" s="11" t="s">
        <v>460</v>
      </c>
      <c r="D64" s="11" t="s">
        <v>104</v>
      </c>
      <c r="E64" s="11" t="s">
        <v>384</v>
      </c>
      <c r="F64" s="11">
        <v>1</v>
      </c>
      <c r="G64" s="11" t="s">
        <v>453</v>
      </c>
      <c r="H64" s="11" t="s">
        <v>196</v>
      </c>
      <c r="I64" s="11">
        <v>15</v>
      </c>
      <c r="J64" s="11" t="s">
        <v>399</v>
      </c>
      <c r="K64" s="11" t="s">
        <v>38</v>
      </c>
      <c r="L64" s="11" t="s">
        <v>70</v>
      </c>
      <c r="M64" s="11"/>
    </row>
    <row r="65" spans="1:13" ht="25.5" x14ac:dyDescent="0.45">
      <c r="A65" s="11" t="s">
        <v>469</v>
      </c>
      <c r="B65" s="11" t="s">
        <v>470</v>
      </c>
      <c r="C65" s="11" t="s">
        <v>383</v>
      </c>
      <c r="D65" s="11" t="s">
        <v>104</v>
      </c>
      <c r="E65" s="11" t="s">
        <v>471</v>
      </c>
      <c r="F65" s="11">
        <v>1</v>
      </c>
      <c r="G65" s="11" t="s">
        <v>472</v>
      </c>
      <c r="H65" s="11" t="s">
        <v>205</v>
      </c>
      <c r="I65" s="11">
        <v>1</v>
      </c>
      <c r="J65" s="11" t="s">
        <v>473</v>
      </c>
      <c r="K65" s="11" t="s">
        <v>70</v>
      </c>
      <c r="L65" s="11" t="s">
        <v>474</v>
      </c>
      <c r="M65" s="11" t="s">
        <v>475</v>
      </c>
    </row>
    <row r="66" spans="1:13" ht="25.5" x14ac:dyDescent="0.45">
      <c r="A66" s="11" t="s">
        <v>476</v>
      </c>
      <c r="B66" s="11" t="s">
        <v>477</v>
      </c>
      <c r="C66" s="11" t="s">
        <v>383</v>
      </c>
      <c r="D66" s="11" t="s">
        <v>104</v>
      </c>
      <c r="E66" s="11" t="s">
        <v>471</v>
      </c>
      <c r="F66" s="11">
        <v>1</v>
      </c>
      <c r="G66" s="11" t="s">
        <v>472</v>
      </c>
      <c r="H66" s="11" t="s">
        <v>205</v>
      </c>
      <c r="I66" s="11">
        <v>2</v>
      </c>
      <c r="J66" s="11" t="s">
        <v>473</v>
      </c>
      <c r="K66" s="11" t="s">
        <v>70</v>
      </c>
      <c r="L66" s="11" t="s">
        <v>474</v>
      </c>
      <c r="M66" s="11" t="s">
        <v>478</v>
      </c>
    </row>
    <row r="67" spans="1:13" x14ac:dyDescent="0.45">
      <c r="A67" s="11" t="s">
        <v>479</v>
      </c>
      <c r="B67" s="11" t="s">
        <v>470</v>
      </c>
      <c r="C67" s="11" t="s">
        <v>407</v>
      </c>
      <c r="D67" s="11" t="s">
        <v>104</v>
      </c>
      <c r="E67" s="11" t="s">
        <v>471</v>
      </c>
      <c r="F67" s="11">
        <v>1</v>
      </c>
      <c r="G67" s="11" t="s">
        <v>472</v>
      </c>
      <c r="H67" s="11" t="s">
        <v>205</v>
      </c>
      <c r="I67" s="11">
        <v>3</v>
      </c>
      <c r="J67" s="11" t="s">
        <v>473</v>
      </c>
      <c r="K67" s="11" t="s">
        <v>70</v>
      </c>
      <c r="L67" s="11" t="s">
        <v>474</v>
      </c>
      <c r="M67" s="11" t="s">
        <v>475</v>
      </c>
    </row>
    <row r="68" spans="1:13" ht="25.5" x14ac:dyDescent="0.45">
      <c r="A68" s="11" t="s">
        <v>480</v>
      </c>
      <c r="B68" s="11" t="s">
        <v>477</v>
      </c>
      <c r="C68" s="11" t="s">
        <v>407</v>
      </c>
      <c r="D68" s="11" t="s">
        <v>104</v>
      </c>
      <c r="E68" s="11" t="s">
        <v>471</v>
      </c>
      <c r="F68" s="11">
        <v>1</v>
      </c>
      <c r="G68" s="11" t="s">
        <v>472</v>
      </c>
      <c r="H68" s="11" t="s">
        <v>205</v>
      </c>
      <c r="I68" s="11">
        <v>4</v>
      </c>
      <c r="J68" s="11" t="s">
        <v>473</v>
      </c>
      <c r="K68" s="11" t="s">
        <v>70</v>
      </c>
      <c r="L68" s="11" t="s">
        <v>474</v>
      </c>
      <c r="M68" s="11" t="s">
        <v>478</v>
      </c>
    </row>
    <row r="69" spans="1:13" ht="25.5" x14ac:dyDescent="0.45">
      <c r="A69" s="11" t="s">
        <v>481</v>
      </c>
      <c r="B69" s="11" t="s">
        <v>470</v>
      </c>
      <c r="C69" s="11" t="s">
        <v>418</v>
      </c>
      <c r="D69" s="11" t="s">
        <v>104</v>
      </c>
      <c r="E69" s="11" t="s">
        <v>471</v>
      </c>
      <c r="F69" s="11">
        <v>1</v>
      </c>
      <c r="G69" s="11" t="s">
        <v>472</v>
      </c>
      <c r="H69" s="11" t="s">
        <v>205</v>
      </c>
      <c r="I69" s="11">
        <v>5</v>
      </c>
      <c r="J69" s="11" t="s">
        <v>473</v>
      </c>
      <c r="K69" s="11" t="s">
        <v>70</v>
      </c>
      <c r="L69" s="11" t="s">
        <v>474</v>
      </c>
      <c r="M69" s="11" t="s">
        <v>475</v>
      </c>
    </row>
    <row r="70" spans="1:13" ht="25.5" x14ac:dyDescent="0.45">
      <c r="A70" s="11" t="s">
        <v>482</v>
      </c>
      <c r="B70" s="11" t="s">
        <v>477</v>
      </c>
      <c r="C70" s="11" t="s">
        <v>418</v>
      </c>
      <c r="D70" s="11" t="s">
        <v>104</v>
      </c>
      <c r="E70" s="11" t="s">
        <v>471</v>
      </c>
      <c r="F70" s="11">
        <v>1</v>
      </c>
      <c r="G70" s="11" t="s">
        <v>472</v>
      </c>
      <c r="H70" s="11" t="s">
        <v>205</v>
      </c>
      <c r="I70" s="11">
        <v>6</v>
      </c>
      <c r="J70" s="11" t="s">
        <v>473</v>
      </c>
      <c r="K70" s="11" t="s">
        <v>70</v>
      </c>
      <c r="L70" s="11" t="s">
        <v>474</v>
      </c>
      <c r="M70" s="11" t="s">
        <v>478</v>
      </c>
    </row>
    <row r="71" spans="1:13" ht="25.5" x14ac:dyDescent="0.45">
      <c r="A71" s="11" t="s">
        <v>483</v>
      </c>
      <c r="B71" s="11" t="s">
        <v>470</v>
      </c>
      <c r="C71" s="11" t="s">
        <v>428</v>
      </c>
      <c r="D71" s="11" t="s">
        <v>104</v>
      </c>
      <c r="E71" s="11" t="s">
        <v>471</v>
      </c>
      <c r="F71" s="11">
        <v>1</v>
      </c>
      <c r="G71" s="11" t="s">
        <v>472</v>
      </c>
      <c r="H71" s="11" t="s">
        <v>205</v>
      </c>
      <c r="I71" s="11">
        <v>7</v>
      </c>
      <c r="J71" s="11" t="s">
        <v>473</v>
      </c>
      <c r="K71" s="11" t="s">
        <v>70</v>
      </c>
      <c r="L71" s="11" t="s">
        <v>474</v>
      </c>
      <c r="M71" s="11" t="s">
        <v>475</v>
      </c>
    </row>
    <row r="72" spans="1:13" ht="25.5" x14ac:dyDescent="0.45">
      <c r="A72" s="11" t="s">
        <v>484</v>
      </c>
      <c r="B72" s="11" t="s">
        <v>477</v>
      </c>
      <c r="C72" s="11" t="s">
        <v>428</v>
      </c>
      <c r="D72" s="11" t="s">
        <v>104</v>
      </c>
      <c r="E72" s="11" t="s">
        <v>471</v>
      </c>
      <c r="F72" s="11">
        <v>1</v>
      </c>
      <c r="G72" s="11" t="s">
        <v>472</v>
      </c>
      <c r="H72" s="11" t="s">
        <v>205</v>
      </c>
      <c r="I72" s="11">
        <v>8</v>
      </c>
      <c r="J72" s="11" t="s">
        <v>473</v>
      </c>
      <c r="K72" s="11" t="s">
        <v>70</v>
      </c>
      <c r="L72" s="11" t="s">
        <v>474</v>
      </c>
      <c r="M72" s="11" t="s">
        <v>478</v>
      </c>
    </row>
    <row r="73" spans="1:13" ht="25.5" x14ac:dyDescent="0.45">
      <c r="A73" s="11" t="s">
        <v>485</v>
      </c>
      <c r="B73" s="11" t="s">
        <v>470</v>
      </c>
      <c r="C73" s="11" t="s">
        <v>439</v>
      </c>
      <c r="D73" s="11" t="s">
        <v>104</v>
      </c>
      <c r="E73" s="11" t="s">
        <v>471</v>
      </c>
      <c r="F73" s="11">
        <v>1</v>
      </c>
      <c r="G73" s="11" t="s">
        <v>472</v>
      </c>
      <c r="H73" s="11" t="s">
        <v>205</v>
      </c>
      <c r="I73" s="11">
        <v>9</v>
      </c>
      <c r="J73" s="11" t="s">
        <v>473</v>
      </c>
      <c r="K73" s="11" t="s">
        <v>70</v>
      </c>
      <c r="L73" s="11" t="s">
        <v>474</v>
      </c>
      <c r="M73" s="11" t="s">
        <v>475</v>
      </c>
    </row>
    <row r="74" spans="1:13" ht="25.5" x14ac:dyDescent="0.45">
      <c r="A74" s="11" t="s">
        <v>486</v>
      </c>
      <c r="B74" s="11" t="s">
        <v>477</v>
      </c>
      <c r="C74" s="11" t="s">
        <v>439</v>
      </c>
      <c r="D74" s="11" t="s">
        <v>104</v>
      </c>
      <c r="E74" s="11" t="s">
        <v>471</v>
      </c>
      <c r="F74" s="11">
        <v>1</v>
      </c>
      <c r="G74" s="11" t="s">
        <v>472</v>
      </c>
      <c r="H74" s="11" t="s">
        <v>205</v>
      </c>
      <c r="I74" s="11">
        <v>10</v>
      </c>
      <c r="J74" s="11" t="s">
        <v>473</v>
      </c>
      <c r="K74" s="11" t="s">
        <v>70</v>
      </c>
      <c r="L74" s="11" t="s">
        <v>474</v>
      </c>
      <c r="M74" s="11" t="s">
        <v>478</v>
      </c>
    </row>
    <row r="75" spans="1:13" ht="25.5" x14ac:dyDescent="0.45">
      <c r="A75" s="11" t="s">
        <v>487</v>
      </c>
      <c r="B75" s="11" t="s">
        <v>470</v>
      </c>
      <c r="C75" s="11" t="s">
        <v>449</v>
      </c>
      <c r="D75" s="11" t="s">
        <v>104</v>
      </c>
      <c r="E75" s="11" t="s">
        <v>471</v>
      </c>
      <c r="F75" s="11">
        <v>1</v>
      </c>
      <c r="G75" s="11" t="s">
        <v>472</v>
      </c>
      <c r="H75" s="11" t="s">
        <v>205</v>
      </c>
      <c r="I75" s="11">
        <v>11</v>
      </c>
      <c r="J75" s="11" t="s">
        <v>473</v>
      </c>
      <c r="K75" s="11" t="s">
        <v>70</v>
      </c>
      <c r="L75" s="11" t="s">
        <v>474</v>
      </c>
      <c r="M75" s="11" t="s">
        <v>475</v>
      </c>
    </row>
    <row r="76" spans="1:13" ht="25.5" x14ac:dyDescent="0.45">
      <c r="A76" s="11" t="s">
        <v>488</v>
      </c>
      <c r="B76" s="11" t="s">
        <v>477</v>
      </c>
      <c r="C76" s="11" t="s">
        <v>449</v>
      </c>
      <c r="D76" s="11" t="s">
        <v>104</v>
      </c>
      <c r="E76" s="11" t="s">
        <v>471</v>
      </c>
      <c r="F76" s="11">
        <v>1</v>
      </c>
      <c r="G76" s="11" t="s">
        <v>472</v>
      </c>
      <c r="H76" s="11" t="s">
        <v>205</v>
      </c>
      <c r="I76" s="11">
        <v>12</v>
      </c>
      <c r="J76" s="11" t="s">
        <v>473</v>
      </c>
      <c r="K76" s="11" t="s">
        <v>70</v>
      </c>
      <c r="L76" s="11" t="s">
        <v>474</v>
      </c>
      <c r="M76" s="11" t="s">
        <v>478</v>
      </c>
    </row>
    <row r="77" spans="1:13" x14ac:dyDescent="0.45">
      <c r="A77" s="11" t="s">
        <v>489</v>
      </c>
      <c r="B77" s="11" t="s">
        <v>470</v>
      </c>
      <c r="C77" s="11" t="s">
        <v>460</v>
      </c>
      <c r="D77" s="11" t="s">
        <v>104</v>
      </c>
      <c r="E77" s="11" t="s">
        <v>471</v>
      </c>
      <c r="F77" s="11">
        <v>1</v>
      </c>
      <c r="G77" s="11" t="s">
        <v>490</v>
      </c>
      <c r="H77" s="11" t="s">
        <v>205</v>
      </c>
      <c r="I77" s="11">
        <v>1</v>
      </c>
      <c r="J77" s="11" t="s">
        <v>473</v>
      </c>
      <c r="K77" s="11" t="s">
        <v>70</v>
      </c>
      <c r="L77" s="11" t="s">
        <v>474</v>
      </c>
      <c r="M77" s="11" t="s">
        <v>475</v>
      </c>
    </row>
    <row r="78" spans="1:13" ht="25.5" x14ac:dyDescent="0.45">
      <c r="A78" s="11" t="s">
        <v>491</v>
      </c>
      <c r="B78" s="11" t="s">
        <v>477</v>
      </c>
      <c r="C78" s="11" t="s">
        <v>460</v>
      </c>
      <c r="D78" s="11" t="s">
        <v>104</v>
      </c>
      <c r="E78" s="11" t="s">
        <v>471</v>
      </c>
      <c r="F78" s="11">
        <v>1</v>
      </c>
      <c r="G78" s="11" t="s">
        <v>490</v>
      </c>
      <c r="H78" s="11" t="s">
        <v>205</v>
      </c>
      <c r="I78" s="11">
        <v>2</v>
      </c>
      <c r="J78" s="11" t="s">
        <v>473</v>
      </c>
      <c r="K78" s="11" t="s">
        <v>70</v>
      </c>
      <c r="L78" s="11" t="s">
        <v>474</v>
      </c>
      <c r="M78" s="11" t="s">
        <v>478</v>
      </c>
    </row>
    <row r="79" spans="1:13" ht="25.5" x14ac:dyDescent="0.45">
      <c r="A79" s="11" t="s">
        <v>492</v>
      </c>
      <c r="B79" s="11" t="s">
        <v>493</v>
      </c>
      <c r="C79" s="11" t="s">
        <v>494</v>
      </c>
      <c r="D79" s="11" t="s">
        <v>104</v>
      </c>
      <c r="E79" s="11" t="s">
        <v>384</v>
      </c>
      <c r="F79" s="11">
        <v>1</v>
      </c>
      <c r="G79" s="11" t="s">
        <v>453</v>
      </c>
      <c r="H79" s="11" t="s">
        <v>196</v>
      </c>
      <c r="I79" s="11">
        <v>16</v>
      </c>
      <c r="J79" s="11" t="s">
        <v>390</v>
      </c>
      <c r="K79" s="11" t="s">
        <v>36</v>
      </c>
      <c r="L79" s="11" t="s">
        <v>70</v>
      </c>
      <c r="M79" s="11"/>
    </row>
    <row r="80" spans="1:13" ht="25.5" x14ac:dyDescent="0.45">
      <c r="A80" s="11" t="s">
        <v>495</v>
      </c>
      <c r="B80" s="11" t="s">
        <v>496</v>
      </c>
      <c r="C80" s="11" t="s">
        <v>494</v>
      </c>
      <c r="D80" s="11" t="s">
        <v>104</v>
      </c>
      <c r="E80" s="11" t="s">
        <v>384</v>
      </c>
      <c r="F80" s="11">
        <v>1</v>
      </c>
      <c r="G80" s="11" t="s">
        <v>497</v>
      </c>
      <c r="H80" s="11" t="s">
        <v>196</v>
      </c>
      <c r="I80" s="11">
        <v>1</v>
      </c>
      <c r="J80" s="11" t="s">
        <v>390</v>
      </c>
      <c r="K80" s="11" t="s">
        <v>38</v>
      </c>
      <c r="L80" s="11" t="s">
        <v>70</v>
      </c>
      <c r="M80" s="11"/>
    </row>
    <row r="81" spans="1:13" ht="25.5" x14ac:dyDescent="0.45">
      <c r="A81" s="11" t="s">
        <v>498</v>
      </c>
      <c r="B81" s="11" t="s">
        <v>499</v>
      </c>
      <c r="C81" s="11" t="s">
        <v>494</v>
      </c>
      <c r="D81" s="11" t="s">
        <v>104</v>
      </c>
      <c r="E81" s="11" t="s">
        <v>384</v>
      </c>
      <c r="F81" s="11">
        <v>1</v>
      </c>
      <c r="G81" s="11" t="s">
        <v>497</v>
      </c>
      <c r="H81" s="11" t="s">
        <v>196</v>
      </c>
      <c r="I81" s="11">
        <v>2</v>
      </c>
      <c r="J81" s="11" t="s">
        <v>399</v>
      </c>
      <c r="K81" s="11" t="s">
        <v>38</v>
      </c>
      <c r="L81" s="11" t="s">
        <v>70</v>
      </c>
      <c r="M81" s="11"/>
    </row>
    <row r="82" spans="1:13" x14ac:dyDescent="0.45">
      <c r="A82" s="11" t="s">
        <v>500</v>
      </c>
      <c r="B82" s="11" t="s">
        <v>501</v>
      </c>
      <c r="C82" s="11" t="s">
        <v>502</v>
      </c>
      <c r="D82" s="11" t="s">
        <v>294</v>
      </c>
      <c r="E82" s="11" t="s">
        <v>471</v>
      </c>
      <c r="F82" s="11">
        <v>1</v>
      </c>
      <c r="G82" s="11" t="s">
        <v>503</v>
      </c>
      <c r="H82" s="11" t="s">
        <v>211</v>
      </c>
      <c r="I82" s="11">
        <v>1</v>
      </c>
      <c r="J82" s="11" t="s">
        <v>504</v>
      </c>
      <c r="K82" s="11" t="s">
        <v>70</v>
      </c>
      <c r="L82" s="11" t="s">
        <v>505</v>
      </c>
      <c r="M82" s="11"/>
    </row>
    <row r="83" spans="1:13" x14ac:dyDescent="0.45">
      <c r="A83" s="11" t="s">
        <v>506</v>
      </c>
      <c r="B83" s="11" t="s">
        <v>507</v>
      </c>
      <c r="C83" s="11" t="s">
        <v>508</v>
      </c>
      <c r="D83" s="11" t="s">
        <v>104</v>
      </c>
      <c r="E83" s="11" t="s">
        <v>471</v>
      </c>
      <c r="F83" s="11">
        <v>1</v>
      </c>
      <c r="G83" s="11" t="s">
        <v>503</v>
      </c>
      <c r="H83" s="11" t="s">
        <v>211</v>
      </c>
      <c r="I83" s="11">
        <v>2</v>
      </c>
      <c r="J83" s="11" t="s">
        <v>509</v>
      </c>
      <c r="K83" s="11" t="s">
        <v>70</v>
      </c>
      <c r="L83" s="11" t="s">
        <v>505</v>
      </c>
      <c r="M83" s="11"/>
    </row>
    <row r="84" spans="1:13" x14ac:dyDescent="0.45">
      <c r="A84" s="11" t="s">
        <v>510</v>
      </c>
      <c r="B84" s="11" t="s">
        <v>511</v>
      </c>
      <c r="C84" s="11" t="s">
        <v>512</v>
      </c>
      <c r="D84" s="11" t="s">
        <v>104</v>
      </c>
      <c r="E84" s="11" t="s">
        <v>384</v>
      </c>
      <c r="F84" s="11">
        <v>2</v>
      </c>
      <c r="G84" s="11" t="s">
        <v>513</v>
      </c>
      <c r="H84" s="11" t="s">
        <v>196</v>
      </c>
      <c r="I84" s="11">
        <v>1</v>
      </c>
      <c r="J84" s="11" t="s">
        <v>390</v>
      </c>
      <c r="K84" s="11" t="s">
        <v>40</v>
      </c>
      <c r="L84" s="11" t="s">
        <v>70</v>
      </c>
      <c r="M84" s="11"/>
    </row>
    <row r="85" spans="1:13" x14ac:dyDescent="0.45">
      <c r="A85" s="11" t="s">
        <v>514</v>
      </c>
      <c r="B85" s="11" t="s">
        <v>515</v>
      </c>
      <c r="C85" s="11" t="s">
        <v>512</v>
      </c>
      <c r="D85" s="11" t="s">
        <v>104</v>
      </c>
      <c r="E85" s="11" t="s">
        <v>384</v>
      </c>
      <c r="F85" s="11">
        <v>2</v>
      </c>
      <c r="G85" s="11" t="s">
        <v>513</v>
      </c>
      <c r="H85" s="11" t="s">
        <v>196</v>
      </c>
      <c r="I85" s="11">
        <v>2</v>
      </c>
      <c r="J85" s="11" t="s">
        <v>390</v>
      </c>
      <c r="K85" s="11" t="s">
        <v>36</v>
      </c>
      <c r="L85" s="11" t="s">
        <v>70</v>
      </c>
      <c r="M85" s="11"/>
    </row>
    <row r="86" spans="1:13" x14ac:dyDescent="0.45">
      <c r="A86" s="11" t="s">
        <v>516</v>
      </c>
      <c r="B86" s="11" t="s">
        <v>517</v>
      </c>
      <c r="C86" s="11" t="s">
        <v>512</v>
      </c>
      <c r="D86" s="11" t="s">
        <v>104</v>
      </c>
      <c r="E86" s="11" t="s">
        <v>384</v>
      </c>
      <c r="F86" s="11">
        <v>2</v>
      </c>
      <c r="G86" s="11" t="s">
        <v>513</v>
      </c>
      <c r="H86" s="11" t="s">
        <v>196</v>
      </c>
      <c r="I86" s="11">
        <v>3</v>
      </c>
      <c r="J86" s="11" t="s">
        <v>390</v>
      </c>
      <c r="K86" s="11" t="s">
        <v>40</v>
      </c>
      <c r="L86" s="11" t="s">
        <v>70</v>
      </c>
      <c r="M86" s="11"/>
    </row>
    <row r="87" spans="1:13" x14ac:dyDescent="0.45">
      <c r="A87" s="11" t="s">
        <v>518</v>
      </c>
      <c r="B87" s="11" t="s">
        <v>519</v>
      </c>
      <c r="C87" s="11" t="s">
        <v>512</v>
      </c>
      <c r="D87" s="11" t="s">
        <v>104</v>
      </c>
      <c r="E87" s="11" t="s">
        <v>384</v>
      </c>
      <c r="F87" s="11">
        <v>2</v>
      </c>
      <c r="G87" s="11" t="s">
        <v>513</v>
      </c>
      <c r="H87" s="11" t="s">
        <v>196</v>
      </c>
      <c r="I87" s="11">
        <v>4</v>
      </c>
      <c r="J87" s="11" t="s">
        <v>390</v>
      </c>
      <c r="K87" s="11" t="s">
        <v>36</v>
      </c>
      <c r="L87" s="11" t="s">
        <v>70</v>
      </c>
      <c r="M87" s="11"/>
    </row>
    <row r="88" spans="1:13" x14ac:dyDescent="0.45">
      <c r="A88" s="11" t="s">
        <v>520</v>
      </c>
      <c r="B88" s="11" t="s">
        <v>521</v>
      </c>
      <c r="C88" s="11" t="s">
        <v>512</v>
      </c>
      <c r="D88" s="11" t="s">
        <v>104</v>
      </c>
      <c r="E88" s="11" t="s">
        <v>384</v>
      </c>
      <c r="F88" s="11">
        <v>2</v>
      </c>
      <c r="G88" s="11" t="s">
        <v>513</v>
      </c>
      <c r="H88" s="11" t="s">
        <v>196</v>
      </c>
      <c r="I88" s="11">
        <v>5</v>
      </c>
      <c r="J88" s="11" t="s">
        <v>390</v>
      </c>
      <c r="K88" s="11" t="s">
        <v>36</v>
      </c>
      <c r="L88" s="11" t="s">
        <v>70</v>
      </c>
      <c r="M88" s="11"/>
    </row>
    <row r="89" spans="1:13" x14ac:dyDescent="0.45">
      <c r="A89" s="11" t="s">
        <v>522</v>
      </c>
      <c r="B89" s="11" t="s">
        <v>523</v>
      </c>
      <c r="C89" s="11" t="s">
        <v>512</v>
      </c>
      <c r="D89" s="11" t="s">
        <v>104</v>
      </c>
      <c r="E89" s="11" t="s">
        <v>384</v>
      </c>
      <c r="F89" s="11">
        <v>2</v>
      </c>
      <c r="G89" s="11" t="s">
        <v>513</v>
      </c>
      <c r="H89" s="11" t="s">
        <v>196</v>
      </c>
      <c r="I89" s="11">
        <v>6</v>
      </c>
      <c r="J89" s="11" t="s">
        <v>390</v>
      </c>
      <c r="K89" s="11" t="s">
        <v>38</v>
      </c>
      <c r="L89" s="11" t="s">
        <v>70</v>
      </c>
      <c r="M89" s="11"/>
    </row>
    <row r="90" spans="1:13" ht="25.5" x14ac:dyDescent="0.45">
      <c r="A90" s="11" t="s">
        <v>524</v>
      </c>
      <c r="B90" s="11" t="s">
        <v>511</v>
      </c>
      <c r="C90" s="11" t="s">
        <v>525</v>
      </c>
      <c r="D90" s="11" t="s">
        <v>526</v>
      </c>
      <c r="E90" s="11" t="s">
        <v>384</v>
      </c>
      <c r="F90" s="11">
        <v>5</v>
      </c>
      <c r="G90" s="11" t="s">
        <v>527</v>
      </c>
      <c r="H90" s="11" t="s">
        <v>196</v>
      </c>
      <c r="I90" s="11">
        <v>1</v>
      </c>
      <c r="J90" s="11" t="s">
        <v>390</v>
      </c>
      <c r="K90" s="11" t="s">
        <v>40</v>
      </c>
      <c r="L90" s="11" t="s">
        <v>70</v>
      </c>
      <c r="M90" s="11"/>
    </row>
    <row r="91" spans="1:13" ht="25.5" x14ac:dyDescent="0.45">
      <c r="A91" s="11" t="s">
        <v>528</v>
      </c>
      <c r="B91" s="11" t="s">
        <v>515</v>
      </c>
      <c r="C91" s="11" t="s">
        <v>525</v>
      </c>
      <c r="D91" s="11" t="s">
        <v>526</v>
      </c>
      <c r="E91" s="11" t="s">
        <v>384</v>
      </c>
      <c r="F91" s="11">
        <v>5</v>
      </c>
      <c r="G91" s="11" t="s">
        <v>527</v>
      </c>
      <c r="H91" s="11" t="s">
        <v>196</v>
      </c>
      <c r="I91" s="11">
        <v>2</v>
      </c>
      <c r="J91" s="11" t="s">
        <v>390</v>
      </c>
      <c r="K91" s="11" t="s">
        <v>36</v>
      </c>
      <c r="L91" s="11" t="s">
        <v>70</v>
      </c>
      <c r="M91" s="11"/>
    </row>
    <row r="92" spans="1:13" ht="25.5" x14ac:dyDescent="0.45">
      <c r="A92" s="11" t="s">
        <v>529</v>
      </c>
      <c r="B92" s="11" t="s">
        <v>517</v>
      </c>
      <c r="C92" s="11" t="s">
        <v>525</v>
      </c>
      <c r="D92" s="11" t="s">
        <v>526</v>
      </c>
      <c r="E92" s="11" t="s">
        <v>384</v>
      </c>
      <c r="F92" s="11">
        <v>5</v>
      </c>
      <c r="G92" s="11" t="s">
        <v>527</v>
      </c>
      <c r="H92" s="11" t="s">
        <v>196</v>
      </c>
      <c r="I92" s="11">
        <v>3</v>
      </c>
      <c r="J92" s="11" t="s">
        <v>390</v>
      </c>
      <c r="K92" s="11" t="s">
        <v>40</v>
      </c>
      <c r="L92" s="11" t="s">
        <v>70</v>
      </c>
      <c r="M92" s="11"/>
    </row>
    <row r="93" spans="1:13" ht="25.5" x14ac:dyDescent="0.45">
      <c r="A93" s="11" t="s">
        <v>530</v>
      </c>
      <c r="B93" s="11" t="s">
        <v>519</v>
      </c>
      <c r="C93" s="11" t="s">
        <v>525</v>
      </c>
      <c r="D93" s="11" t="s">
        <v>526</v>
      </c>
      <c r="E93" s="11" t="s">
        <v>384</v>
      </c>
      <c r="F93" s="11">
        <v>5</v>
      </c>
      <c r="G93" s="11" t="s">
        <v>527</v>
      </c>
      <c r="H93" s="11" t="s">
        <v>196</v>
      </c>
      <c r="I93" s="11">
        <v>4</v>
      </c>
      <c r="J93" s="11" t="s">
        <v>390</v>
      </c>
      <c r="K93" s="11" t="s">
        <v>36</v>
      </c>
      <c r="L93" s="11" t="s">
        <v>70</v>
      </c>
      <c r="M93" s="11"/>
    </row>
    <row r="94" spans="1:13" ht="25.5" x14ac:dyDescent="0.45">
      <c r="A94" s="11" t="s">
        <v>531</v>
      </c>
      <c r="B94" s="11" t="s">
        <v>521</v>
      </c>
      <c r="C94" s="11" t="s">
        <v>525</v>
      </c>
      <c r="D94" s="11" t="s">
        <v>526</v>
      </c>
      <c r="E94" s="11" t="s">
        <v>384</v>
      </c>
      <c r="F94" s="11">
        <v>5</v>
      </c>
      <c r="G94" s="11" t="s">
        <v>527</v>
      </c>
      <c r="H94" s="11" t="s">
        <v>196</v>
      </c>
      <c r="I94" s="11">
        <v>5</v>
      </c>
      <c r="J94" s="11" t="s">
        <v>390</v>
      </c>
      <c r="K94" s="11" t="s">
        <v>36</v>
      </c>
      <c r="L94" s="11" t="s">
        <v>70</v>
      </c>
      <c r="M94" s="11"/>
    </row>
    <row r="95" spans="1:13" ht="25.5" x14ac:dyDescent="0.45">
      <c r="A95" s="11" t="s">
        <v>532</v>
      </c>
      <c r="B95" s="11" t="s">
        <v>523</v>
      </c>
      <c r="C95" s="11" t="s">
        <v>525</v>
      </c>
      <c r="D95" s="11" t="s">
        <v>526</v>
      </c>
      <c r="E95" s="11" t="s">
        <v>384</v>
      </c>
      <c r="F95" s="11">
        <v>5</v>
      </c>
      <c r="G95" s="11" t="s">
        <v>527</v>
      </c>
      <c r="H95" s="11" t="s">
        <v>196</v>
      </c>
      <c r="I95" s="11">
        <v>6</v>
      </c>
      <c r="J95" s="11" t="s">
        <v>390</v>
      </c>
      <c r="K95" s="11" t="s">
        <v>38</v>
      </c>
      <c r="L95" s="11" t="s">
        <v>70</v>
      </c>
      <c r="M95" s="11"/>
    </row>
    <row r="96" spans="1:13" x14ac:dyDescent="0.45">
      <c r="A96" s="11" t="s">
        <v>533</v>
      </c>
      <c r="B96" s="11" t="s">
        <v>511</v>
      </c>
      <c r="C96" s="11" t="s">
        <v>534</v>
      </c>
      <c r="D96" s="11" t="s">
        <v>96</v>
      </c>
      <c r="E96" s="11" t="s">
        <v>384</v>
      </c>
      <c r="F96" s="11">
        <v>6</v>
      </c>
      <c r="G96" s="11" t="s">
        <v>535</v>
      </c>
      <c r="H96" s="11" t="s">
        <v>196</v>
      </c>
      <c r="I96" s="11">
        <v>1</v>
      </c>
      <c r="J96" s="11" t="s">
        <v>390</v>
      </c>
      <c r="K96" s="11" t="s">
        <v>40</v>
      </c>
      <c r="L96" s="11" t="s">
        <v>70</v>
      </c>
      <c r="M96" s="11"/>
    </row>
    <row r="97" spans="1:13" x14ac:dyDescent="0.45">
      <c r="A97" s="11" t="s">
        <v>536</v>
      </c>
      <c r="B97" s="11" t="s">
        <v>515</v>
      </c>
      <c r="C97" s="11" t="s">
        <v>534</v>
      </c>
      <c r="D97" s="11" t="s">
        <v>96</v>
      </c>
      <c r="E97" s="11" t="s">
        <v>384</v>
      </c>
      <c r="F97" s="11">
        <v>6</v>
      </c>
      <c r="G97" s="11" t="s">
        <v>535</v>
      </c>
      <c r="H97" s="11" t="s">
        <v>196</v>
      </c>
      <c r="I97" s="11">
        <v>2</v>
      </c>
      <c r="J97" s="11" t="s">
        <v>390</v>
      </c>
      <c r="K97" s="11" t="s">
        <v>36</v>
      </c>
      <c r="L97" s="11" t="s">
        <v>70</v>
      </c>
      <c r="M97" s="11"/>
    </row>
    <row r="98" spans="1:13" x14ac:dyDescent="0.45">
      <c r="A98" s="11" t="s">
        <v>537</v>
      </c>
      <c r="B98" s="11" t="s">
        <v>517</v>
      </c>
      <c r="C98" s="11" t="s">
        <v>534</v>
      </c>
      <c r="D98" s="11" t="s">
        <v>96</v>
      </c>
      <c r="E98" s="11" t="s">
        <v>384</v>
      </c>
      <c r="F98" s="11">
        <v>6</v>
      </c>
      <c r="G98" s="11" t="s">
        <v>535</v>
      </c>
      <c r="H98" s="11" t="s">
        <v>196</v>
      </c>
      <c r="I98" s="11">
        <v>3</v>
      </c>
      <c r="J98" s="11" t="s">
        <v>390</v>
      </c>
      <c r="K98" s="11" t="s">
        <v>40</v>
      </c>
      <c r="L98" s="11" t="s">
        <v>70</v>
      </c>
      <c r="M98" s="11"/>
    </row>
    <row r="99" spans="1:13" x14ac:dyDescent="0.45">
      <c r="A99" s="11" t="s">
        <v>538</v>
      </c>
      <c r="B99" s="11" t="s">
        <v>519</v>
      </c>
      <c r="C99" s="11" t="s">
        <v>534</v>
      </c>
      <c r="D99" s="11" t="s">
        <v>96</v>
      </c>
      <c r="E99" s="11" t="s">
        <v>384</v>
      </c>
      <c r="F99" s="11">
        <v>6</v>
      </c>
      <c r="G99" s="11" t="s">
        <v>535</v>
      </c>
      <c r="H99" s="11" t="s">
        <v>196</v>
      </c>
      <c r="I99" s="11">
        <v>4</v>
      </c>
      <c r="J99" s="11" t="s">
        <v>390</v>
      </c>
      <c r="K99" s="11" t="s">
        <v>36</v>
      </c>
      <c r="L99" s="11" t="s">
        <v>70</v>
      </c>
      <c r="M99" s="11"/>
    </row>
    <row r="100" spans="1:13" x14ac:dyDescent="0.45">
      <c r="A100" s="11" t="s">
        <v>539</v>
      </c>
      <c r="B100" s="11" t="s">
        <v>521</v>
      </c>
      <c r="C100" s="11" t="s">
        <v>534</v>
      </c>
      <c r="D100" s="11" t="s">
        <v>96</v>
      </c>
      <c r="E100" s="11" t="s">
        <v>384</v>
      </c>
      <c r="F100" s="11">
        <v>6</v>
      </c>
      <c r="G100" s="11" t="s">
        <v>535</v>
      </c>
      <c r="H100" s="11" t="s">
        <v>196</v>
      </c>
      <c r="I100" s="11">
        <v>5</v>
      </c>
      <c r="J100" s="11" t="s">
        <v>390</v>
      </c>
      <c r="K100" s="11" t="s">
        <v>36</v>
      </c>
      <c r="L100" s="11" t="s">
        <v>70</v>
      </c>
      <c r="M100" s="11"/>
    </row>
    <row r="101" spans="1:13" x14ac:dyDescent="0.45">
      <c r="A101" s="11" t="s">
        <v>540</v>
      </c>
      <c r="B101" s="11" t="s">
        <v>523</v>
      </c>
      <c r="C101" s="11" t="s">
        <v>534</v>
      </c>
      <c r="D101" s="11" t="s">
        <v>96</v>
      </c>
      <c r="E101" s="11" t="s">
        <v>384</v>
      </c>
      <c r="F101" s="11">
        <v>6</v>
      </c>
      <c r="G101" s="11" t="s">
        <v>535</v>
      </c>
      <c r="H101" s="11" t="s">
        <v>196</v>
      </c>
      <c r="I101" s="11">
        <v>6</v>
      </c>
      <c r="J101" s="11" t="s">
        <v>390</v>
      </c>
      <c r="K101" s="11" t="s">
        <v>38</v>
      </c>
      <c r="L101" s="11" t="s">
        <v>70</v>
      </c>
      <c r="M101" s="11"/>
    </row>
    <row r="102" spans="1:13" x14ac:dyDescent="0.45">
      <c r="A102" s="11" t="s">
        <v>541</v>
      </c>
      <c r="B102" s="11" t="s">
        <v>542</v>
      </c>
      <c r="C102" s="11" t="s">
        <v>543</v>
      </c>
      <c r="D102" s="11" t="s">
        <v>96</v>
      </c>
      <c r="E102" s="11" t="s">
        <v>384</v>
      </c>
      <c r="F102" s="11">
        <v>6</v>
      </c>
      <c r="G102" s="11" t="s">
        <v>535</v>
      </c>
      <c r="H102" s="11" t="s">
        <v>196</v>
      </c>
      <c r="I102" s="11">
        <v>7</v>
      </c>
      <c r="J102" s="11" t="s">
        <v>3</v>
      </c>
      <c r="K102" s="11" t="s">
        <v>3</v>
      </c>
      <c r="L102" s="11" t="s">
        <v>70</v>
      </c>
      <c r="M102" s="11" t="s">
        <v>544</v>
      </c>
    </row>
    <row r="103" spans="1:13" x14ac:dyDescent="0.45">
      <c r="A103" s="11" t="s">
        <v>545</v>
      </c>
      <c r="B103" s="11" t="s">
        <v>546</v>
      </c>
      <c r="C103" s="11" t="s">
        <v>543</v>
      </c>
      <c r="D103" s="11" t="s">
        <v>96</v>
      </c>
      <c r="E103" s="11" t="s">
        <v>384</v>
      </c>
      <c r="F103" s="11">
        <v>6</v>
      </c>
      <c r="G103" s="11" t="s">
        <v>535</v>
      </c>
      <c r="H103" s="11" t="s">
        <v>196</v>
      </c>
      <c r="I103" s="11">
        <v>8</v>
      </c>
      <c r="J103" s="11" t="s">
        <v>390</v>
      </c>
      <c r="K103" s="11" t="s">
        <v>38</v>
      </c>
      <c r="L103" s="11" t="s">
        <v>70</v>
      </c>
      <c r="M103" s="11"/>
    </row>
    <row r="104" spans="1:13" x14ac:dyDescent="0.45">
      <c r="A104" s="11" t="s">
        <v>547</v>
      </c>
      <c r="B104" s="11" t="s">
        <v>548</v>
      </c>
      <c r="C104" s="11" t="s">
        <v>543</v>
      </c>
      <c r="D104" s="11" t="s">
        <v>96</v>
      </c>
      <c r="E104" s="11" t="s">
        <v>384</v>
      </c>
      <c r="F104" s="11">
        <v>6</v>
      </c>
      <c r="G104" s="11" t="s">
        <v>535</v>
      </c>
      <c r="H104" s="11" t="s">
        <v>196</v>
      </c>
      <c r="I104" s="11">
        <v>9</v>
      </c>
      <c r="J104" s="11" t="s">
        <v>390</v>
      </c>
      <c r="K104" s="11" t="s">
        <v>36</v>
      </c>
      <c r="L104" s="11" t="s">
        <v>70</v>
      </c>
      <c r="M104" s="11"/>
    </row>
    <row r="105" spans="1:13" x14ac:dyDescent="0.45">
      <c r="A105" s="11" t="s">
        <v>549</v>
      </c>
      <c r="B105" s="11" t="s">
        <v>550</v>
      </c>
      <c r="C105" s="11" t="s">
        <v>543</v>
      </c>
      <c r="D105" s="11" t="s">
        <v>96</v>
      </c>
      <c r="E105" s="11" t="s">
        <v>384</v>
      </c>
      <c r="F105" s="11">
        <v>6</v>
      </c>
      <c r="G105" s="11" t="s">
        <v>535</v>
      </c>
      <c r="H105" s="11" t="s">
        <v>196</v>
      </c>
      <c r="I105" s="11">
        <v>10</v>
      </c>
      <c r="J105" s="11" t="s">
        <v>3</v>
      </c>
      <c r="K105" s="11" t="s">
        <v>3</v>
      </c>
      <c r="L105" s="11" t="s">
        <v>70</v>
      </c>
      <c r="M105" s="11"/>
    </row>
    <row r="106" spans="1:13" x14ac:dyDescent="0.45">
      <c r="A106" s="11" t="s">
        <v>551</v>
      </c>
      <c r="B106" s="11" t="s">
        <v>542</v>
      </c>
      <c r="C106" s="11" t="s">
        <v>552</v>
      </c>
      <c r="D106" s="11" t="s">
        <v>96</v>
      </c>
      <c r="E106" s="11" t="s">
        <v>384</v>
      </c>
      <c r="F106" s="11">
        <v>6</v>
      </c>
      <c r="G106" s="11" t="s">
        <v>535</v>
      </c>
      <c r="H106" s="11" t="s">
        <v>196</v>
      </c>
      <c r="I106" s="11">
        <v>11</v>
      </c>
      <c r="J106" s="11" t="s">
        <v>3</v>
      </c>
      <c r="K106" s="11" t="s">
        <v>3</v>
      </c>
      <c r="L106" s="11" t="s">
        <v>70</v>
      </c>
      <c r="M106" s="11" t="s">
        <v>544</v>
      </c>
    </row>
    <row r="107" spans="1:13" x14ac:dyDescent="0.45">
      <c r="A107" s="11" t="s">
        <v>553</v>
      </c>
      <c r="B107" s="11" t="s">
        <v>546</v>
      </c>
      <c r="C107" s="11" t="s">
        <v>552</v>
      </c>
      <c r="D107" s="11" t="s">
        <v>96</v>
      </c>
      <c r="E107" s="11" t="s">
        <v>384</v>
      </c>
      <c r="F107" s="11">
        <v>6</v>
      </c>
      <c r="G107" s="11" t="s">
        <v>535</v>
      </c>
      <c r="H107" s="11" t="s">
        <v>196</v>
      </c>
      <c r="I107" s="11">
        <v>12</v>
      </c>
      <c r="J107" s="11" t="s">
        <v>390</v>
      </c>
      <c r="K107" s="11" t="s">
        <v>38</v>
      </c>
      <c r="L107" s="11" t="s">
        <v>70</v>
      </c>
      <c r="M107" s="11"/>
    </row>
    <row r="108" spans="1:13" x14ac:dyDescent="0.45">
      <c r="A108" s="11" t="s">
        <v>554</v>
      </c>
      <c r="B108" s="11" t="s">
        <v>548</v>
      </c>
      <c r="C108" s="11" t="s">
        <v>552</v>
      </c>
      <c r="D108" s="11" t="s">
        <v>96</v>
      </c>
      <c r="E108" s="11" t="s">
        <v>384</v>
      </c>
      <c r="F108" s="11">
        <v>6</v>
      </c>
      <c r="G108" s="11" t="s">
        <v>535</v>
      </c>
      <c r="H108" s="11" t="s">
        <v>196</v>
      </c>
      <c r="I108" s="11">
        <v>13</v>
      </c>
      <c r="J108" s="11" t="s">
        <v>390</v>
      </c>
      <c r="K108" s="11" t="s">
        <v>36</v>
      </c>
      <c r="L108" s="11" t="s">
        <v>70</v>
      </c>
      <c r="M108" s="11"/>
    </row>
    <row r="109" spans="1:13" x14ac:dyDescent="0.45">
      <c r="A109" s="11" t="s">
        <v>555</v>
      </c>
      <c r="B109" s="11" t="s">
        <v>550</v>
      </c>
      <c r="C109" s="11" t="s">
        <v>552</v>
      </c>
      <c r="D109" s="11" t="s">
        <v>96</v>
      </c>
      <c r="E109" s="11" t="s">
        <v>384</v>
      </c>
      <c r="F109" s="11">
        <v>6</v>
      </c>
      <c r="G109" s="11" t="s">
        <v>535</v>
      </c>
      <c r="H109" s="11" t="s">
        <v>196</v>
      </c>
      <c r="I109" s="11">
        <v>14</v>
      </c>
      <c r="J109" s="11" t="s">
        <v>3</v>
      </c>
      <c r="K109" s="11" t="s">
        <v>3</v>
      </c>
      <c r="L109" s="11" t="s">
        <v>70</v>
      </c>
      <c r="M109" s="11"/>
    </row>
    <row r="110" spans="1:13" ht="25.5" x14ac:dyDescent="0.45">
      <c r="A110" s="11" t="s">
        <v>556</v>
      </c>
      <c r="B110" s="11" t="s">
        <v>557</v>
      </c>
      <c r="C110" s="11" t="s">
        <v>137</v>
      </c>
      <c r="D110" s="11" t="s">
        <v>526</v>
      </c>
      <c r="E110" s="11" t="s">
        <v>384</v>
      </c>
      <c r="F110" s="11">
        <v>5</v>
      </c>
      <c r="G110" s="11" t="s">
        <v>527</v>
      </c>
      <c r="H110" s="11" t="s">
        <v>196</v>
      </c>
      <c r="I110" s="11">
        <v>7</v>
      </c>
      <c r="J110" s="11" t="s">
        <v>390</v>
      </c>
      <c r="K110" s="11" t="s">
        <v>38</v>
      </c>
      <c r="L110" s="11" t="s">
        <v>70</v>
      </c>
      <c r="M110" s="11" t="s">
        <v>558</v>
      </c>
    </row>
    <row r="111" spans="1:13" ht="25.5" x14ac:dyDescent="0.45">
      <c r="A111" s="11" t="s">
        <v>559</v>
      </c>
      <c r="B111" s="11" t="s">
        <v>560</v>
      </c>
      <c r="C111" s="11" t="s">
        <v>137</v>
      </c>
      <c r="D111" s="11" t="s">
        <v>526</v>
      </c>
      <c r="E111" s="11" t="s">
        <v>384</v>
      </c>
      <c r="F111" s="11">
        <v>5</v>
      </c>
      <c r="G111" s="11" t="s">
        <v>527</v>
      </c>
      <c r="H111" s="11" t="s">
        <v>196</v>
      </c>
      <c r="I111" s="11">
        <v>8</v>
      </c>
      <c r="J111" s="11" t="s">
        <v>390</v>
      </c>
      <c r="K111" s="11" t="s">
        <v>36</v>
      </c>
      <c r="L111" s="11" t="s">
        <v>70</v>
      </c>
      <c r="M111" s="11" t="s">
        <v>558</v>
      </c>
    </row>
    <row r="112" spans="1:13" ht="25.5" x14ac:dyDescent="0.45">
      <c r="A112" s="11" t="s">
        <v>561</v>
      </c>
      <c r="B112" s="11" t="s">
        <v>562</v>
      </c>
      <c r="C112" s="11" t="s">
        <v>137</v>
      </c>
      <c r="D112" s="11" t="s">
        <v>526</v>
      </c>
      <c r="E112" s="11" t="s">
        <v>384</v>
      </c>
      <c r="F112" s="11">
        <v>5</v>
      </c>
      <c r="G112" s="11" t="s">
        <v>527</v>
      </c>
      <c r="H112" s="11" t="s">
        <v>196</v>
      </c>
      <c r="I112" s="11">
        <v>9</v>
      </c>
      <c r="J112" s="11" t="s">
        <v>390</v>
      </c>
      <c r="K112" s="11" t="s">
        <v>38</v>
      </c>
      <c r="L112" s="11" t="s">
        <v>70</v>
      </c>
      <c r="M112" s="11" t="s">
        <v>558</v>
      </c>
    </row>
    <row r="113" spans="1:13" ht="25.5" x14ac:dyDescent="0.45">
      <c r="A113" s="11" t="s">
        <v>563</v>
      </c>
      <c r="B113" s="11" t="s">
        <v>564</v>
      </c>
      <c r="C113" s="11" t="s">
        <v>137</v>
      </c>
      <c r="D113" s="11" t="s">
        <v>526</v>
      </c>
      <c r="E113" s="11" t="s">
        <v>384</v>
      </c>
      <c r="F113" s="11">
        <v>5</v>
      </c>
      <c r="G113" s="11" t="s">
        <v>527</v>
      </c>
      <c r="H113" s="11" t="s">
        <v>196</v>
      </c>
      <c r="I113" s="11">
        <v>10</v>
      </c>
      <c r="J113" s="11" t="s">
        <v>390</v>
      </c>
      <c r="K113" s="11" t="s">
        <v>36</v>
      </c>
      <c r="L113" s="11" t="s">
        <v>70</v>
      </c>
      <c r="M113" s="11" t="s">
        <v>558</v>
      </c>
    </row>
    <row r="114" spans="1:13" ht="25.5" x14ac:dyDescent="0.45">
      <c r="A114" s="11" t="s">
        <v>565</v>
      </c>
      <c r="B114" s="11" t="s">
        <v>566</v>
      </c>
      <c r="C114" s="11" t="s">
        <v>137</v>
      </c>
      <c r="D114" s="11" t="s">
        <v>526</v>
      </c>
      <c r="E114" s="11" t="s">
        <v>384</v>
      </c>
      <c r="F114" s="11">
        <v>5</v>
      </c>
      <c r="G114" s="11" t="s">
        <v>527</v>
      </c>
      <c r="H114" s="11" t="s">
        <v>196</v>
      </c>
      <c r="I114" s="11">
        <v>11</v>
      </c>
      <c r="J114" s="11" t="s">
        <v>390</v>
      </c>
      <c r="K114" s="11" t="s">
        <v>38</v>
      </c>
      <c r="L114" s="11" t="s">
        <v>70</v>
      </c>
      <c r="M114" s="11" t="s">
        <v>558</v>
      </c>
    </row>
    <row r="115" spans="1:13" ht="25.5" x14ac:dyDescent="0.45">
      <c r="A115" s="11" t="s">
        <v>567</v>
      </c>
      <c r="B115" s="11" t="s">
        <v>568</v>
      </c>
      <c r="C115" s="11" t="s">
        <v>137</v>
      </c>
      <c r="D115" s="11" t="s">
        <v>526</v>
      </c>
      <c r="E115" s="11" t="s">
        <v>384</v>
      </c>
      <c r="F115" s="11">
        <v>5</v>
      </c>
      <c r="G115" s="11" t="s">
        <v>527</v>
      </c>
      <c r="H115" s="11" t="s">
        <v>196</v>
      </c>
      <c r="I115" s="11">
        <v>12</v>
      </c>
      <c r="J115" s="11" t="s">
        <v>390</v>
      </c>
      <c r="K115" s="11" t="s">
        <v>38</v>
      </c>
      <c r="L115" s="11" t="s">
        <v>70</v>
      </c>
      <c r="M115" s="11" t="s">
        <v>558</v>
      </c>
    </row>
    <row r="116" spans="1:13" ht="25.5" x14ac:dyDescent="0.45">
      <c r="A116" s="11" t="s">
        <v>569</v>
      </c>
      <c r="B116" s="11" t="s">
        <v>570</v>
      </c>
      <c r="C116" s="11" t="s">
        <v>137</v>
      </c>
      <c r="D116" s="11" t="s">
        <v>526</v>
      </c>
      <c r="E116" s="11" t="s">
        <v>384</v>
      </c>
      <c r="F116" s="11">
        <v>5</v>
      </c>
      <c r="G116" s="11" t="s">
        <v>527</v>
      </c>
      <c r="H116" s="11" t="s">
        <v>196</v>
      </c>
      <c r="I116" s="11">
        <v>13</v>
      </c>
      <c r="J116" s="11" t="s">
        <v>390</v>
      </c>
      <c r="K116" s="11" t="s">
        <v>36</v>
      </c>
      <c r="L116" s="11" t="s">
        <v>70</v>
      </c>
      <c r="M116" s="11" t="s">
        <v>558</v>
      </c>
    </row>
    <row r="117" spans="1:13" ht="25.5" x14ac:dyDescent="0.45">
      <c r="A117" s="11" t="s">
        <v>571</v>
      </c>
      <c r="B117" s="11" t="s">
        <v>572</v>
      </c>
      <c r="C117" s="11" t="s">
        <v>137</v>
      </c>
      <c r="D117" s="11" t="s">
        <v>526</v>
      </c>
      <c r="E117" s="11" t="s">
        <v>384</v>
      </c>
      <c r="F117" s="11">
        <v>5</v>
      </c>
      <c r="G117" s="11" t="s">
        <v>527</v>
      </c>
      <c r="H117" s="11" t="s">
        <v>196</v>
      </c>
      <c r="I117" s="11">
        <v>14</v>
      </c>
      <c r="J117" s="11" t="s">
        <v>390</v>
      </c>
      <c r="K117" s="11" t="s">
        <v>38</v>
      </c>
      <c r="L117" s="11" t="s">
        <v>70</v>
      </c>
      <c r="M117" s="11" t="s">
        <v>558</v>
      </c>
    </row>
    <row r="118" spans="1:13" x14ac:dyDescent="0.45">
      <c r="A118" s="11" t="s">
        <v>573</v>
      </c>
      <c r="B118" s="11" t="s">
        <v>574</v>
      </c>
      <c r="C118" s="11" t="s">
        <v>575</v>
      </c>
      <c r="D118" s="11" t="s">
        <v>104</v>
      </c>
      <c r="E118" s="11" t="s">
        <v>384</v>
      </c>
      <c r="F118" s="11">
        <v>2</v>
      </c>
      <c r="G118" s="11" t="s">
        <v>513</v>
      </c>
      <c r="H118" s="11" t="s">
        <v>196</v>
      </c>
      <c r="I118" s="11">
        <v>7</v>
      </c>
      <c r="J118" s="11" t="s">
        <v>3</v>
      </c>
      <c r="K118" s="11" t="s">
        <v>3</v>
      </c>
      <c r="L118" s="11" t="s">
        <v>70</v>
      </c>
      <c r="M118" s="11"/>
    </row>
    <row r="119" spans="1:13" x14ac:dyDescent="0.45">
      <c r="A119" s="11" t="s">
        <v>576</v>
      </c>
      <c r="B119" s="11" t="s">
        <v>577</v>
      </c>
      <c r="C119" s="11" t="s">
        <v>575</v>
      </c>
      <c r="D119" s="11" t="s">
        <v>104</v>
      </c>
      <c r="E119" s="11" t="s">
        <v>384</v>
      </c>
      <c r="F119" s="11">
        <v>2</v>
      </c>
      <c r="G119" s="11" t="s">
        <v>513</v>
      </c>
      <c r="H119" s="11" t="s">
        <v>196</v>
      </c>
      <c r="I119" s="11">
        <v>8</v>
      </c>
      <c r="J119" s="11" t="s">
        <v>390</v>
      </c>
      <c r="K119" s="11" t="s">
        <v>38</v>
      </c>
      <c r="L119" s="11" t="s">
        <v>70</v>
      </c>
      <c r="M119" s="11"/>
    </row>
    <row r="120" spans="1:13" x14ac:dyDescent="0.45">
      <c r="A120" s="11" t="s">
        <v>578</v>
      </c>
      <c r="B120" s="11" t="s">
        <v>579</v>
      </c>
      <c r="C120" s="11" t="s">
        <v>575</v>
      </c>
      <c r="D120" s="11" t="s">
        <v>104</v>
      </c>
      <c r="E120" s="11" t="s">
        <v>384</v>
      </c>
      <c r="F120" s="11">
        <v>2</v>
      </c>
      <c r="G120" s="11" t="s">
        <v>513</v>
      </c>
      <c r="H120" s="11" t="s">
        <v>196</v>
      </c>
      <c r="I120" s="11">
        <v>9</v>
      </c>
      <c r="J120" s="11" t="s">
        <v>390</v>
      </c>
      <c r="K120" s="11" t="s">
        <v>40</v>
      </c>
      <c r="L120" s="11" t="s">
        <v>70</v>
      </c>
      <c r="M120" s="11"/>
    </row>
    <row r="121" spans="1:13" x14ac:dyDescent="0.45">
      <c r="A121" s="11" t="s">
        <v>580</v>
      </c>
      <c r="B121" s="11" t="s">
        <v>581</v>
      </c>
      <c r="C121" s="11" t="s">
        <v>575</v>
      </c>
      <c r="D121" s="11" t="s">
        <v>104</v>
      </c>
      <c r="E121" s="11" t="s">
        <v>384</v>
      </c>
      <c r="F121" s="11">
        <v>2</v>
      </c>
      <c r="G121" s="11" t="s">
        <v>513</v>
      </c>
      <c r="H121" s="11" t="s">
        <v>196</v>
      </c>
      <c r="I121" s="11">
        <v>10</v>
      </c>
      <c r="J121" s="11" t="s">
        <v>390</v>
      </c>
      <c r="K121" s="11" t="s">
        <v>38</v>
      </c>
      <c r="L121" s="11" t="s">
        <v>70</v>
      </c>
      <c r="M121" s="11"/>
    </row>
    <row r="122" spans="1:13" x14ac:dyDescent="0.45">
      <c r="A122" s="11" t="s">
        <v>582</v>
      </c>
      <c r="B122" s="11" t="s">
        <v>583</v>
      </c>
      <c r="C122" s="11" t="s">
        <v>575</v>
      </c>
      <c r="D122" s="11" t="s">
        <v>104</v>
      </c>
      <c r="E122" s="11" t="s">
        <v>384</v>
      </c>
      <c r="F122" s="11">
        <v>2</v>
      </c>
      <c r="G122" s="11" t="s">
        <v>513</v>
      </c>
      <c r="H122" s="11" t="s">
        <v>196</v>
      </c>
      <c r="I122" s="11">
        <v>11</v>
      </c>
      <c r="J122" s="11" t="s">
        <v>390</v>
      </c>
      <c r="K122" s="11" t="s">
        <v>36</v>
      </c>
      <c r="L122" s="11" t="s">
        <v>70</v>
      </c>
      <c r="M122" s="11"/>
    </row>
    <row r="123" spans="1:13" x14ac:dyDescent="0.45">
      <c r="A123" s="11" t="s">
        <v>584</v>
      </c>
      <c r="B123" s="11" t="s">
        <v>585</v>
      </c>
      <c r="C123" s="11" t="s">
        <v>575</v>
      </c>
      <c r="D123" s="11" t="s">
        <v>104</v>
      </c>
      <c r="E123" s="11" t="s">
        <v>384</v>
      </c>
      <c r="F123" s="11">
        <v>2</v>
      </c>
      <c r="G123" s="11" t="s">
        <v>513</v>
      </c>
      <c r="H123" s="11" t="s">
        <v>196</v>
      </c>
      <c r="I123" s="11">
        <v>12</v>
      </c>
      <c r="J123" s="11" t="s">
        <v>390</v>
      </c>
      <c r="K123" s="11" t="s">
        <v>38</v>
      </c>
      <c r="L123" s="11" t="s">
        <v>70</v>
      </c>
      <c r="M123" s="11"/>
    </row>
    <row r="124" spans="1:13" x14ac:dyDescent="0.45">
      <c r="A124" s="11" t="s">
        <v>586</v>
      </c>
      <c r="B124" s="11" t="s">
        <v>587</v>
      </c>
      <c r="C124" s="11" t="s">
        <v>575</v>
      </c>
      <c r="D124" s="11" t="s">
        <v>104</v>
      </c>
      <c r="E124" s="11" t="s">
        <v>384</v>
      </c>
      <c r="F124" s="11">
        <v>2</v>
      </c>
      <c r="G124" s="11" t="s">
        <v>513</v>
      </c>
      <c r="H124" s="11" t="s">
        <v>196</v>
      </c>
      <c r="I124" s="11">
        <v>13</v>
      </c>
      <c r="J124" s="11" t="s">
        <v>390</v>
      </c>
      <c r="K124" s="11" t="s">
        <v>40</v>
      </c>
      <c r="L124" s="11" t="s">
        <v>70</v>
      </c>
      <c r="M124" s="11"/>
    </row>
    <row r="125" spans="1:13" x14ac:dyDescent="0.45">
      <c r="A125" s="11" t="s">
        <v>588</v>
      </c>
      <c r="B125" s="11" t="s">
        <v>589</v>
      </c>
      <c r="C125" s="11" t="s">
        <v>575</v>
      </c>
      <c r="D125" s="11" t="s">
        <v>104</v>
      </c>
      <c r="E125" s="11" t="s">
        <v>384</v>
      </c>
      <c r="F125" s="11">
        <v>2</v>
      </c>
      <c r="G125" s="11" t="s">
        <v>513</v>
      </c>
      <c r="H125" s="11" t="s">
        <v>196</v>
      </c>
      <c r="I125" s="11">
        <v>14</v>
      </c>
      <c r="J125" s="11" t="s">
        <v>390</v>
      </c>
      <c r="K125" s="11" t="s">
        <v>38</v>
      </c>
      <c r="L125" s="11" t="s">
        <v>70</v>
      </c>
      <c r="M125" s="11"/>
    </row>
    <row r="126" spans="1:13" x14ac:dyDescent="0.45">
      <c r="A126" s="11" t="s">
        <v>590</v>
      </c>
      <c r="B126" s="11" t="s">
        <v>591</v>
      </c>
      <c r="C126" s="11" t="s">
        <v>575</v>
      </c>
      <c r="D126" s="11" t="s">
        <v>104</v>
      </c>
      <c r="E126" s="11" t="s">
        <v>384</v>
      </c>
      <c r="F126" s="11">
        <v>2</v>
      </c>
      <c r="G126" s="11" t="s">
        <v>513</v>
      </c>
      <c r="H126" s="11" t="s">
        <v>196</v>
      </c>
      <c r="I126" s="11">
        <v>15</v>
      </c>
      <c r="J126" s="11" t="s">
        <v>390</v>
      </c>
      <c r="K126" s="11" t="s">
        <v>38</v>
      </c>
      <c r="L126" s="11" t="s">
        <v>70</v>
      </c>
      <c r="M126" s="11"/>
    </row>
    <row r="127" spans="1:13" x14ac:dyDescent="0.45">
      <c r="A127" s="11" t="s">
        <v>592</v>
      </c>
      <c r="B127" s="11" t="s">
        <v>593</v>
      </c>
      <c r="C127" s="11" t="s">
        <v>575</v>
      </c>
      <c r="D127" s="11" t="s">
        <v>104</v>
      </c>
      <c r="E127" s="11" t="s">
        <v>384</v>
      </c>
      <c r="F127" s="11">
        <v>2</v>
      </c>
      <c r="G127" s="11" t="s">
        <v>513</v>
      </c>
      <c r="H127" s="11" t="s">
        <v>196</v>
      </c>
      <c r="I127" s="11">
        <v>16</v>
      </c>
      <c r="J127" s="11" t="s">
        <v>390</v>
      </c>
      <c r="K127" s="11" t="s">
        <v>36</v>
      </c>
      <c r="L127" s="11" t="s">
        <v>70</v>
      </c>
      <c r="M127" s="11"/>
    </row>
    <row r="128" spans="1:13" x14ac:dyDescent="0.45">
      <c r="A128" s="11" t="s">
        <v>594</v>
      </c>
      <c r="B128" s="11" t="s">
        <v>595</v>
      </c>
      <c r="C128" s="11" t="s">
        <v>575</v>
      </c>
      <c r="D128" s="11" t="s">
        <v>104</v>
      </c>
      <c r="E128" s="11" t="s">
        <v>384</v>
      </c>
      <c r="F128" s="11">
        <v>2</v>
      </c>
      <c r="G128" s="11" t="s">
        <v>596</v>
      </c>
      <c r="H128" s="11" t="s">
        <v>196</v>
      </c>
      <c r="I128" s="11">
        <v>1</v>
      </c>
      <c r="J128" s="11" t="s">
        <v>390</v>
      </c>
      <c r="K128" s="11" t="s">
        <v>40</v>
      </c>
      <c r="L128" s="11" t="s">
        <v>70</v>
      </c>
      <c r="M128" s="11"/>
    </row>
    <row r="129" spans="1:13" x14ac:dyDescent="0.45">
      <c r="A129" s="11" t="s">
        <v>597</v>
      </c>
      <c r="B129" s="11" t="s">
        <v>598</v>
      </c>
      <c r="C129" s="11" t="s">
        <v>575</v>
      </c>
      <c r="D129" s="11" t="s">
        <v>104</v>
      </c>
      <c r="E129" s="11" t="s">
        <v>384</v>
      </c>
      <c r="F129" s="11">
        <v>2</v>
      </c>
      <c r="G129" s="11" t="s">
        <v>596</v>
      </c>
      <c r="H129" s="11" t="s">
        <v>196</v>
      </c>
      <c r="I129" s="11">
        <v>2</v>
      </c>
      <c r="J129" s="11" t="s">
        <v>390</v>
      </c>
      <c r="K129" s="11" t="s">
        <v>40</v>
      </c>
      <c r="L129" s="11" t="s">
        <v>70</v>
      </c>
      <c r="M129" s="11"/>
    </row>
    <row r="130" spans="1:13" ht="25.5" x14ac:dyDescent="0.45">
      <c r="A130" s="11" t="s">
        <v>599</v>
      </c>
      <c r="B130" s="11" t="s">
        <v>600</v>
      </c>
      <c r="C130" s="11" t="s">
        <v>601</v>
      </c>
      <c r="D130" s="11" t="s">
        <v>104</v>
      </c>
      <c r="E130" s="11" t="s">
        <v>384</v>
      </c>
      <c r="F130" s="11">
        <v>2</v>
      </c>
      <c r="G130" s="11" t="s">
        <v>596</v>
      </c>
      <c r="H130" s="11" t="s">
        <v>196</v>
      </c>
      <c r="I130" s="11">
        <v>3</v>
      </c>
      <c r="J130" s="11" t="s">
        <v>390</v>
      </c>
      <c r="K130" s="11" t="s">
        <v>36</v>
      </c>
      <c r="L130" s="11" t="s">
        <v>70</v>
      </c>
      <c r="M130" s="11"/>
    </row>
    <row r="131" spans="1:13" ht="25.5" x14ac:dyDescent="0.45">
      <c r="A131" s="11" t="s">
        <v>602</v>
      </c>
      <c r="B131" s="11" t="s">
        <v>603</v>
      </c>
      <c r="C131" s="11" t="s">
        <v>601</v>
      </c>
      <c r="D131" s="11" t="s">
        <v>104</v>
      </c>
      <c r="E131" s="11" t="s">
        <v>384</v>
      </c>
      <c r="F131" s="11">
        <v>2</v>
      </c>
      <c r="G131" s="11" t="s">
        <v>596</v>
      </c>
      <c r="H131" s="11" t="s">
        <v>196</v>
      </c>
      <c r="I131" s="11">
        <v>4</v>
      </c>
      <c r="J131" s="11" t="s">
        <v>390</v>
      </c>
      <c r="K131" s="11" t="s">
        <v>40</v>
      </c>
      <c r="L131" s="11" t="s">
        <v>70</v>
      </c>
      <c r="M131" s="11"/>
    </row>
    <row r="132" spans="1:13" ht="25.5" x14ac:dyDescent="0.45">
      <c r="A132" s="11" t="s">
        <v>604</v>
      </c>
      <c r="B132" s="11" t="s">
        <v>605</v>
      </c>
      <c r="C132" s="11" t="s">
        <v>601</v>
      </c>
      <c r="D132" s="11" t="s">
        <v>104</v>
      </c>
      <c r="E132" s="11" t="s">
        <v>384</v>
      </c>
      <c r="F132" s="11">
        <v>2</v>
      </c>
      <c r="G132" s="11" t="s">
        <v>596</v>
      </c>
      <c r="H132" s="11" t="s">
        <v>196</v>
      </c>
      <c r="I132" s="11">
        <v>5</v>
      </c>
      <c r="J132" s="11" t="s">
        <v>390</v>
      </c>
      <c r="K132" s="11" t="s">
        <v>40</v>
      </c>
      <c r="L132" s="11" t="s">
        <v>70</v>
      </c>
      <c r="M132" s="11"/>
    </row>
    <row r="133" spans="1:13" ht="25.5" x14ac:dyDescent="0.45">
      <c r="A133" s="11" t="s">
        <v>606</v>
      </c>
      <c r="B133" s="11" t="s">
        <v>607</v>
      </c>
      <c r="C133" s="11" t="s">
        <v>601</v>
      </c>
      <c r="D133" s="11" t="s">
        <v>104</v>
      </c>
      <c r="E133" s="11" t="s">
        <v>384</v>
      </c>
      <c r="F133" s="11">
        <v>2</v>
      </c>
      <c r="G133" s="11" t="s">
        <v>596</v>
      </c>
      <c r="H133" s="11" t="s">
        <v>196</v>
      </c>
      <c r="I133" s="11">
        <v>6</v>
      </c>
      <c r="J133" s="11" t="s">
        <v>390</v>
      </c>
      <c r="K133" s="11" t="s">
        <v>40</v>
      </c>
      <c r="L133" s="11" t="s">
        <v>70</v>
      </c>
      <c r="M133" s="11"/>
    </row>
    <row r="134" spans="1:13" ht="25.5" x14ac:dyDescent="0.45">
      <c r="A134" s="11" t="s">
        <v>608</v>
      </c>
      <c r="B134" s="11" t="s">
        <v>609</v>
      </c>
      <c r="C134" s="11" t="s">
        <v>601</v>
      </c>
      <c r="D134" s="11" t="s">
        <v>526</v>
      </c>
      <c r="E134" s="11" t="s">
        <v>384</v>
      </c>
      <c r="F134" s="11">
        <v>5</v>
      </c>
      <c r="G134" s="11" t="s">
        <v>527</v>
      </c>
      <c r="H134" s="11" t="s">
        <v>196</v>
      </c>
      <c r="I134" s="11">
        <v>15</v>
      </c>
      <c r="J134" s="11" t="s">
        <v>390</v>
      </c>
      <c r="K134" s="11" t="s">
        <v>36</v>
      </c>
      <c r="L134" s="11" t="s">
        <v>70</v>
      </c>
      <c r="M134" s="11"/>
    </row>
    <row r="135" spans="1:13" ht="25.5" x14ac:dyDescent="0.45">
      <c r="A135" s="11" t="s">
        <v>610</v>
      </c>
      <c r="B135" s="11" t="s">
        <v>611</v>
      </c>
      <c r="C135" s="11" t="s">
        <v>601</v>
      </c>
      <c r="D135" s="11" t="s">
        <v>526</v>
      </c>
      <c r="E135" s="11" t="s">
        <v>384</v>
      </c>
      <c r="F135" s="11">
        <v>5</v>
      </c>
      <c r="G135" s="11" t="s">
        <v>527</v>
      </c>
      <c r="H135" s="11" t="s">
        <v>196</v>
      </c>
      <c r="I135" s="11">
        <v>16</v>
      </c>
      <c r="J135" s="11" t="s">
        <v>390</v>
      </c>
      <c r="K135" s="11" t="s">
        <v>40</v>
      </c>
      <c r="L135" s="11" t="s">
        <v>70</v>
      </c>
      <c r="M135" s="11"/>
    </row>
    <row r="136" spans="1:13" ht="25.5" x14ac:dyDescent="0.45">
      <c r="A136" s="11" t="s">
        <v>612</v>
      </c>
      <c r="B136" s="11" t="s">
        <v>613</v>
      </c>
      <c r="C136" s="11" t="s">
        <v>601</v>
      </c>
      <c r="D136" s="11" t="s">
        <v>526</v>
      </c>
      <c r="E136" s="11" t="s">
        <v>384</v>
      </c>
      <c r="F136" s="11">
        <v>5</v>
      </c>
      <c r="G136" s="11" t="s">
        <v>614</v>
      </c>
      <c r="H136" s="11" t="s">
        <v>196</v>
      </c>
      <c r="I136" s="11">
        <v>1</v>
      </c>
      <c r="J136" s="11" t="s">
        <v>399</v>
      </c>
      <c r="K136" s="11" t="s">
        <v>38</v>
      </c>
      <c r="L136" s="11" t="s">
        <v>70</v>
      </c>
      <c r="M136" s="11"/>
    </row>
    <row r="137" spans="1:13" ht="25.5" x14ac:dyDescent="0.45">
      <c r="A137" s="11" t="s">
        <v>615</v>
      </c>
      <c r="B137" s="11" t="s">
        <v>616</v>
      </c>
      <c r="C137" s="11" t="s">
        <v>601</v>
      </c>
      <c r="D137" s="11" t="s">
        <v>526</v>
      </c>
      <c r="E137" s="11" t="s">
        <v>384</v>
      </c>
      <c r="F137" s="11">
        <v>5</v>
      </c>
      <c r="G137" s="11" t="s">
        <v>614</v>
      </c>
      <c r="H137" s="11" t="s">
        <v>196</v>
      </c>
      <c r="I137" s="11">
        <v>2</v>
      </c>
      <c r="J137" s="11" t="s">
        <v>390</v>
      </c>
      <c r="K137" s="11" t="s">
        <v>40</v>
      </c>
      <c r="L137" s="11" t="s">
        <v>70</v>
      </c>
      <c r="M137" s="11"/>
    </row>
    <row r="138" spans="1:13" ht="25.5" x14ac:dyDescent="0.45">
      <c r="A138" s="11" t="s">
        <v>617</v>
      </c>
      <c r="B138" s="11" t="s">
        <v>618</v>
      </c>
      <c r="C138" s="11" t="s">
        <v>601</v>
      </c>
      <c r="D138" s="11" t="s">
        <v>96</v>
      </c>
      <c r="E138" s="11" t="s">
        <v>384</v>
      </c>
      <c r="F138" s="11">
        <v>6</v>
      </c>
      <c r="G138" s="11" t="s">
        <v>535</v>
      </c>
      <c r="H138" s="11" t="s">
        <v>196</v>
      </c>
      <c r="I138" s="11">
        <v>15</v>
      </c>
      <c r="J138" s="11" t="s">
        <v>399</v>
      </c>
      <c r="K138" s="11" t="s">
        <v>38</v>
      </c>
      <c r="L138" s="11" t="s">
        <v>70</v>
      </c>
      <c r="M138" s="11"/>
    </row>
    <row r="139" spans="1:13" ht="25.5" x14ac:dyDescent="0.45">
      <c r="A139" s="11" t="s">
        <v>619</v>
      </c>
      <c r="B139" s="11" t="s">
        <v>620</v>
      </c>
      <c r="C139" s="11" t="s">
        <v>601</v>
      </c>
      <c r="D139" s="11" t="s">
        <v>96</v>
      </c>
      <c r="E139" s="11" t="s">
        <v>384</v>
      </c>
      <c r="F139" s="11">
        <v>6</v>
      </c>
      <c r="G139" s="11" t="s">
        <v>535</v>
      </c>
      <c r="H139" s="11" t="s">
        <v>196</v>
      </c>
      <c r="I139" s="11">
        <v>16</v>
      </c>
      <c r="J139" s="11" t="s">
        <v>390</v>
      </c>
      <c r="K139" s="11" t="s">
        <v>40</v>
      </c>
      <c r="L139" s="11" t="s">
        <v>70</v>
      </c>
      <c r="M139" s="11"/>
    </row>
    <row r="140" spans="1:13" ht="25.5" x14ac:dyDescent="0.45">
      <c r="A140" s="11" t="s">
        <v>621</v>
      </c>
      <c r="B140" s="11" t="s">
        <v>622</v>
      </c>
      <c r="C140" s="11" t="s">
        <v>543</v>
      </c>
      <c r="D140" s="11" t="s">
        <v>96</v>
      </c>
      <c r="E140" s="11" t="s">
        <v>623</v>
      </c>
      <c r="F140" s="11">
        <v>6</v>
      </c>
      <c r="G140" s="11" t="s">
        <v>624</v>
      </c>
      <c r="H140" s="11" t="s">
        <v>216</v>
      </c>
      <c r="I140" s="11">
        <v>1</v>
      </c>
      <c r="J140" s="11" t="s">
        <v>625</v>
      </c>
      <c r="K140" s="11" t="s">
        <v>626</v>
      </c>
      <c r="L140" s="11" t="s">
        <v>70</v>
      </c>
      <c r="M140" s="11"/>
    </row>
    <row r="141" spans="1:13" ht="25.5" x14ac:dyDescent="0.45">
      <c r="A141" s="11" t="s">
        <v>627</v>
      </c>
      <c r="B141" s="11" t="s">
        <v>622</v>
      </c>
      <c r="C141" s="11" t="s">
        <v>552</v>
      </c>
      <c r="D141" s="11" t="s">
        <v>96</v>
      </c>
      <c r="E141" s="11" t="s">
        <v>623</v>
      </c>
      <c r="F141" s="11">
        <v>6</v>
      </c>
      <c r="G141" s="11" t="s">
        <v>624</v>
      </c>
      <c r="H141" s="11" t="s">
        <v>216</v>
      </c>
      <c r="I141" s="11">
        <v>2</v>
      </c>
      <c r="J141" s="11" t="s">
        <v>625</v>
      </c>
      <c r="K141" s="11" t="s">
        <v>626</v>
      </c>
      <c r="L141" s="11" t="s">
        <v>70</v>
      </c>
      <c r="M141" s="11"/>
    </row>
    <row r="142" spans="1:13" ht="25.5" x14ac:dyDescent="0.45">
      <c r="A142" s="11" t="s">
        <v>628</v>
      </c>
      <c r="B142" s="11" t="s">
        <v>629</v>
      </c>
      <c r="C142" s="11" t="s">
        <v>575</v>
      </c>
      <c r="D142" s="11" t="s">
        <v>104</v>
      </c>
      <c r="E142" s="11" t="s">
        <v>623</v>
      </c>
      <c r="F142" s="11">
        <v>2</v>
      </c>
      <c r="G142" s="11" t="s">
        <v>630</v>
      </c>
      <c r="H142" s="11" t="s">
        <v>216</v>
      </c>
      <c r="I142" s="11">
        <v>1</v>
      </c>
      <c r="J142" s="11" t="s">
        <v>631</v>
      </c>
      <c r="K142" s="11" t="s">
        <v>632</v>
      </c>
      <c r="L142" s="11" t="s">
        <v>70</v>
      </c>
      <c r="M142" s="11"/>
    </row>
    <row r="143" spans="1:13" ht="25.5" x14ac:dyDescent="0.45">
      <c r="A143" s="11" t="s">
        <v>633</v>
      </c>
      <c r="B143" s="11" t="s">
        <v>634</v>
      </c>
      <c r="C143" s="11" t="s">
        <v>575</v>
      </c>
      <c r="D143" s="11" t="s">
        <v>104</v>
      </c>
      <c r="E143" s="11" t="s">
        <v>623</v>
      </c>
      <c r="F143" s="11">
        <v>2</v>
      </c>
      <c r="G143" s="11" t="s">
        <v>630</v>
      </c>
      <c r="H143" s="11" t="s">
        <v>216</v>
      </c>
      <c r="I143" s="11">
        <v>2</v>
      </c>
      <c r="J143" s="11" t="s">
        <v>635</v>
      </c>
      <c r="K143" s="11" t="s">
        <v>632</v>
      </c>
      <c r="L143" s="11" t="s">
        <v>70</v>
      </c>
      <c r="M143" s="11"/>
    </row>
    <row r="144" spans="1:13" x14ac:dyDescent="0.45">
      <c r="A144" s="11" t="s">
        <v>636</v>
      </c>
      <c r="B144" s="11" t="s">
        <v>637</v>
      </c>
      <c r="C144" s="11" t="s">
        <v>638</v>
      </c>
      <c r="D144" s="11" t="s">
        <v>639</v>
      </c>
      <c r="E144" s="11" t="s">
        <v>384</v>
      </c>
      <c r="F144" s="11">
        <v>3</v>
      </c>
      <c r="G144" s="11" t="s">
        <v>640</v>
      </c>
      <c r="H144" s="11" t="s">
        <v>196</v>
      </c>
      <c r="I144" s="11">
        <v>1</v>
      </c>
      <c r="J144" s="11" t="s">
        <v>3</v>
      </c>
      <c r="K144" s="11" t="s">
        <v>3</v>
      </c>
      <c r="L144" s="11" t="s">
        <v>70</v>
      </c>
      <c r="M144" s="11"/>
    </row>
    <row r="145" spans="1:13" x14ac:dyDescent="0.45">
      <c r="A145" s="11" t="s">
        <v>641</v>
      </c>
      <c r="B145" s="11" t="s">
        <v>642</v>
      </c>
      <c r="C145" s="11" t="s">
        <v>638</v>
      </c>
      <c r="D145" s="11" t="s">
        <v>639</v>
      </c>
      <c r="E145" s="11" t="s">
        <v>384</v>
      </c>
      <c r="F145" s="11">
        <v>3</v>
      </c>
      <c r="G145" s="11" t="s">
        <v>640</v>
      </c>
      <c r="H145" s="11" t="s">
        <v>196</v>
      </c>
      <c r="I145" s="11">
        <v>2</v>
      </c>
      <c r="J145" s="11" t="s">
        <v>3</v>
      </c>
      <c r="K145" s="11" t="s">
        <v>3</v>
      </c>
      <c r="L145" s="11" t="s">
        <v>70</v>
      </c>
      <c r="M145" s="11"/>
    </row>
    <row r="146" spans="1:13" x14ac:dyDescent="0.45">
      <c r="A146" s="11" t="s">
        <v>643</v>
      </c>
      <c r="B146" s="11" t="s">
        <v>644</v>
      </c>
      <c r="C146" s="11" t="s">
        <v>638</v>
      </c>
      <c r="D146" s="11" t="s">
        <v>639</v>
      </c>
      <c r="E146" s="11" t="s">
        <v>384</v>
      </c>
      <c r="F146" s="11">
        <v>3</v>
      </c>
      <c r="G146" s="11" t="s">
        <v>640</v>
      </c>
      <c r="H146" s="11" t="s">
        <v>196</v>
      </c>
      <c r="I146" s="11">
        <v>3</v>
      </c>
      <c r="J146" s="11" t="s">
        <v>3</v>
      </c>
      <c r="K146" s="11" t="s">
        <v>3</v>
      </c>
      <c r="L146" s="11" t="s">
        <v>70</v>
      </c>
      <c r="M146" s="11"/>
    </row>
    <row r="147" spans="1:13" x14ac:dyDescent="0.45">
      <c r="A147" s="11" t="s">
        <v>645</v>
      </c>
      <c r="B147" s="11" t="s">
        <v>646</v>
      </c>
      <c r="C147" s="11" t="s">
        <v>638</v>
      </c>
      <c r="D147" s="11" t="s">
        <v>639</v>
      </c>
      <c r="E147" s="11" t="s">
        <v>384</v>
      </c>
      <c r="F147" s="11">
        <v>3</v>
      </c>
      <c r="G147" s="11" t="s">
        <v>640</v>
      </c>
      <c r="H147" s="11" t="s">
        <v>196</v>
      </c>
      <c r="I147" s="11">
        <v>4</v>
      </c>
      <c r="J147" s="11" t="s">
        <v>3</v>
      </c>
      <c r="K147" s="11" t="s">
        <v>3</v>
      </c>
      <c r="L147" s="11" t="s">
        <v>70</v>
      </c>
      <c r="M147" s="11"/>
    </row>
    <row r="148" spans="1:13" x14ac:dyDescent="0.45">
      <c r="A148" s="11" t="s">
        <v>647</v>
      </c>
      <c r="B148" s="11" t="s">
        <v>648</v>
      </c>
      <c r="C148" s="11" t="s">
        <v>638</v>
      </c>
      <c r="D148" s="11" t="s">
        <v>639</v>
      </c>
      <c r="E148" s="11" t="s">
        <v>384</v>
      </c>
      <c r="F148" s="11">
        <v>3</v>
      </c>
      <c r="G148" s="11" t="s">
        <v>640</v>
      </c>
      <c r="H148" s="11" t="s">
        <v>196</v>
      </c>
      <c r="I148" s="11">
        <v>5</v>
      </c>
      <c r="J148" s="11" t="s">
        <v>3</v>
      </c>
      <c r="K148" s="11" t="s">
        <v>3</v>
      </c>
      <c r="L148" s="11" t="s">
        <v>70</v>
      </c>
      <c r="M148" s="11"/>
    </row>
    <row r="149" spans="1:13" x14ac:dyDescent="0.45">
      <c r="A149" s="11" t="s">
        <v>649</v>
      </c>
      <c r="B149" s="11" t="s">
        <v>650</v>
      </c>
      <c r="C149" s="11" t="s">
        <v>638</v>
      </c>
      <c r="D149" s="11" t="s">
        <v>639</v>
      </c>
      <c r="E149" s="11" t="s">
        <v>384</v>
      </c>
      <c r="F149" s="11">
        <v>3</v>
      </c>
      <c r="G149" s="11" t="s">
        <v>640</v>
      </c>
      <c r="H149" s="11" t="s">
        <v>196</v>
      </c>
      <c r="I149" s="11">
        <v>6</v>
      </c>
      <c r="J149" s="11" t="s">
        <v>3</v>
      </c>
      <c r="K149" s="11" t="s">
        <v>3</v>
      </c>
      <c r="L149" s="11" t="s">
        <v>70</v>
      </c>
      <c r="M149" s="11"/>
    </row>
    <row r="150" spans="1:13" x14ac:dyDescent="0.45">
      <c r="A150" s="11" t="s">
        <v>651</v>
      </c>
      <c r="B150" s="11" t="s">
        <v>652</v>
      </c>
      <c r="C150" s="11" t="s">
        <v>638</v>
      </c>
      <c r="D150" s="11" t="s">
        <v>639</v>
      </c>
      <c r="E150" s="11" t="s">
        <v>384</v>
      </c>
      <c r="F150" s="11">
        <v>3</v>
      </c>
      <c r="G150" s="11" t="s">
        <v>640</v>
      </c>
      <c r="H150" s="11" t="s">
        <v>196</v>
      </c>
      <c r="I150" s="11">
        <v>7</v>
      </c>
      <c r="J150" s="11" t="s">
        <v>3</v>
      </c>
      <c r="K150" s="11" t="s">
        <v>3</v>
      </c>
      <c r="L150" s="11" t="s">
        <v>70</v>
      </c>
      <c r="M150" s="11"/>
    </row>
    <row r="151" spans="1:13" x14ac:dyDescent="0.45">
      <c r="A151" s="11" t="s">
        <v>653</v>
      </c>
      <c r="B151" s="11" t="s">
        <v>654</v>
      </c>
      <c r="C151" s="11" t="s">
        <v>638</v>
      </c>
      <c r="D151" s="11" t="s">
        <v>639</v>
      </c>
      <c r="E151" s="11" t="s">
        <v>384</v>
      </c>
      <c r="F151" s="11">
        <v>3</v>
      </c>
      <c r="G151" s="11" t="s">
        <v>640</v>
      </c>
      <c r="H151" s="11" t="s">
        <v>196</v>
      </c>
      <c r="I151" s="11">
        <v>8</v>
      </c>
      <c r="J151" s="11" t="s">
        <v>3</v>
      </c>
      <c r="K151" s="11" t="s">
        <v>3</v>
      </c>
      <c r="L151" s="11" t="s">
        <v>70</v>
      </c>
      <c r="M151" s="11"/>
    </row>
    <row r="152" spans="1:13" x14ac:dyDescent="0.45">
      <c r="A152" s="11" t="s">
        <v>655</v>
      </c>
      <c r="B152" s="11" t="s">
        <v>656</v>
      </c>
      <c r="C152" s="11" t="s">
        <v>638</v>
      </c>
      <c r="D152" s="11" t="s">
        <v>639</v>
      </c>
      <c r="E152" s="11" t="s">
        <v>384</v>
      </c>
      <c r="F152" s="11">
        <v>3</v>
      </c>
      <c r="G152" s="11" t="s">
        <v>640</v>
      </c>
      <c r="H152" s="11" t="s">
        <v>196</v>
      </c>
      <c r="I152" s="11">
        <v>9</v>
      </c>
      <c r="J152" s="11" t="s">
        <v>3</v>
      </c>
      <c r="K152" s="11" t="s">
        <v>3</v>
      </c>
      <c r="L152" s="11" t="s">
        <v>70</v>
      </c>
      <c r="M152" s="11"/>
    </row>
    <row r="153" spans="1:13" x14ac:dyDescent="0.45">
      <c r="A153" s="11" t="s">
        <v>657</v>
      </c>
      <c r="B153" s="11" t="s">
        <v>658</v>
      </c>
      <c r="C153" s="11" t="s">
        <v>638</v>
      </c>
      <c r="D153" s="11" t="s">
        <v>639</v>
      </c>
      <c r="E153" s="11" t="s">
        <v>384</v>
      </c>
      <c r="F153" s="11">
        <v>3</v>
      </c>
      <c r="G153" s="11" t="s">
        <v>640</v>
      </c>
      <c r="H153" s="11" t="s">
        <v>196</v>
      </c>
      <c r="I153" s="11">
        <v>10</v>
      </c>
      <c r="J153" s="11" t="s">
        <v>390</v>
      </c>
      <c r="K153" s="11" t="s">
        <v>36</v>
      </c>
      <c r="L153" s="11" t="s">
        <v>70</v>
      </c>
      <c r="M153" s="11"/>
    </row>
    <row r="154" spans="1:13" x14ac:dyDescent="0.45">
      <c r="A154" s="11" t="s">
        <v>659</v>
      </c>
      <c r="B154" s="11" t="s">
        <v>660</v>
      </c>
      <c r="C154" s="11" t="s">
        <v>638</v>
      </c>
      <c r="D154" s="11" t="s">
        <v>639</v>
      </c>
      <c r="E154" s="11" t="s">
        <v>384</v>
      </c>
      <c r="F154" s="11">
        <v>3</v>
      </c>
      <c r="G154" s="11" t="s">
        <v>640</v>
      </c>
      <c r="H154" s="11" t="s">
        <v>196</v>
      </c>
      <c r="I154" s="11">
        <v>11</v>
      </c>
      <c r="J154" s="11" t="s">
        <v>390</v>
      </c>
      <c r="K154" s="11" t="s">
        <v>38</v>
      </c>
      <c r="L154" s="11" t="s">
        <v>70</v>
      </c>
      <c r="M154" s="11"/>
    </row>
    <row r="155" spans="1:13" x14ac:dyDescent="0.45">
      <c r="A155" s="11" t="s">
        <v>661</v>
      </c>
      <c r="B155" s="11" t="s">
        <v>662</v>
      </c>
      <c r="C155" s="11" t="s">
        <v>638</v>
      </c>
      <c r="D155" s="11" t="s">
        <v>639</v>
      </c>
      <c r="E155" s="11" t="s">
        <v>384</v>
      </c>
      <c r="F155" s="11">
        <v>3</v>
      </c>
      <c r="G155" s="11" t="s">
        <v>640</v>
      </c>
      <c r="H155" s="11" t="s">
        <v>196</v>
      </c>
      <c r="I155" s="11">
        <v>12</v>
      </c>
      <c r="J155" s="11" t="s">
        <v>3</v>
      </c>
      <c r="K155" s="11" t="s">
        <v>3</v>
      </c>
      <c r="L155" s="11" t="s">
        <v>70</v>
      </c>
      <c r="M155" s="11"/>
    </row>
    <row r="156" spans="1:13" x14ac:dyDescent="0.45">
      <c r="A156" s="11" t="s">
        <v>663</v>
      </c>
      <c r="B156" s="11" t="s">
        <v>664</v>
      </c>
      <c r="C156" s="11" t="s">
        <v>638</v>
      </c>
      <c r="D156" s="11" t="s">
        <v>639</v>
      </c>
      <c r="E156" s="11" t="s">
        <v>384</v>
      </c>
      <c r="F156" s="11">
        <v>3</v>
      </c>
      <c r="G156" s="11" t="s">
        <v>640</v>
      </c>
      <c r="H156" s="11" t="s">
        <v>196</v>
      </c>
      <c r="I156" s="11">
        <v>13</v>
      </c>
      <c r="J156" s="11" t="s">
        <v>390</v>
      </c>
      <c r="K156" s="11" t="s">
        <v>38</v>
      </c>
      <c r="L156" s="11" t="s">
        <v>70</v>
      </c>
      <c r="M156" s="11"/>
    </row>
    <row r="157" spans="1:13" ht="25.5" x14ac:dyDescent="0.45">
      <c r="A157" s="11" t="s">
        <v>665</v>
      </c>
      <c r="B157" s="11" t="s">
        <v>511</v>
      </c>
      <c r="C157" s="11" t="s">
        <v>666</v>
      </c>
      <c r="D157" s="11" t="s">
        <v>639</v>
      </c>
      <c r="E157" s="11" t="s">
        <v>384</v>
      </c>
      <c r="F157" s="11">
        <v>3</v>
      </c>
      <c r="G157" s="11" t="s">
        <v>640</v>
      </c>
      <c r="H157" s="11" t="s">
        <v>196</v>
      </c>
      <c r="I157" s="11">
        <v>14</v>
      </c>
      <c r="J157" s="11" t="s">
        <v>390</v>
      </c>
      <c r="K157" s="11" t="s">
        <v>40</v>
      </c>
      <c r="L157" s="11" t="s">
        <v>70</v>
      </c>
      <c r="M157" s="11"/>
    </row>
    <row r="158" spans="1:13" ht="25.5" x14ac:dyDescent="0.45">
      <c r="A158" s="11" t="s">
        <v>667</v>
      </c>
      <c r="B158" s="11" t="s">
        <v>515</v>
      </c>
      <c r="C158" s="11" t="s">
        <v>666</v>
      </c>
      <c r="D158" s="11" t="s">
        <v>639</v>
      </c>
      <c r="E158" s="11" t="s">
        <v>384</v>
      </c>
      <c r="F158" s="11">
        <v>3</v>
      </c>
      <c r="G158" s="11" t="s">
        <v>640</v>
      </c>
      <c r="H158" s="11" t="s">
        <v>196</v>
      </c>
      <c r="I158" s="11">
        <v>15</v>
      </c>
      <c r="J158" s="11" t="s">
        <v>390</v>
      </c>
      <c r="K158" s="11" t="s">
        <v>36</v>
      </c>
      <c r="L158" s="11" t="s">
        <v>70</v>
      </c>
      <c r="M158" s="11"/>
    </row>
    <row r="159" spans="1:13" ht="25.5" x14ac:dyDescent="0.45">
      <c r="A159" s="11" t="s">
        <v>668</v>
      </c>
      <c r="B159" s="11" t="s">
        <v>517</v>
      </c>
      <c r="C159" s="11" t="s">
        <v>666</v>
      </c>
      <c r="D159" s="11" t="s">
        <v>639</v>
      </c>
      <c r="E159" s="11" t="s">
        <v>384</v>
      </c>
      <c r="F159" s="11">
        <v>3</v>
      </c>
      <c r="G159" s="11" t="s">
        <v>640</v>
      </c>
      <c r="H159" s="11" t="s">
        <v>196</v>
      </c>
      <c r="I159" s="11">
        <v>16</v>
      </c>
      <c r="J159" s="11" t="s">
        <v>390</v>
      </c>
      <c r="K159" s="11" t="s">
        <v>40</v>
      </c>
      <c r="L159" s="11" t="s">
        <v>70</v>
      </c>
      <c r="M159" s="11"/>
    </row>
    <row r="160" spans="1:13" ht="25.5" x14ac:dyDescent="0.45">
      <c r="A160" s="11" t="s">
        <v>669</v>
      </c>
      <c r="B160" s="11" t="s">
        <v>519</v>
      </c>
      <c r="C160" s="11" t="s">
        <v>666</v>
      </c>
      <c r="D160" s="11" t="s">
        <v>639</v>
      </c>
      <c r="E160" s="11" t="s">
        <v>384</v>
      </c>
      <c r="F160" s="11">
        <v>3</v>
      </c>
      <c r="G160" s="11" t="s">
        <v>670</v>
      </c>
      <c r="H160" s="11" t="s">
        <v>196</v>
      </c>
      <c r="I160" s="11">
        <v>1</v>
      </c>
      <c r="J160" s="11" t="s">
        <v>390</v>
      </c>
      <c r="K160" s="11" t="s">
        <v>36</v>
      </c>
      <c r="L160" s="11" t="s">
        <v>70</v>
      </c>
      <c r="M160" s="11"/>
    </row>
    <row r="161" spans="1:13" ht="25.5" x14ac:dyDescent="0.45">
      <c r="A161" s="11" t="s">
        <v>671</v>
      </c>
      <c r="B161" s="11" t="s">
        <v>521</v>
      </c>
      <c r="C161" s="11" t="s">
        <v>666</v>
      </c>
      <c r="D161" s="11" t="s">
        <v>639</v>
      </c>
      <c r="E161" s="11" t="s">
        <v>384</v>
      </c>
      <c r="F161" s="11">
        <v>3</v>
      </c>
      <c r="G161" s="11" t="s">
        <v>670</v>
      </c>
      <c r="H161" s="11" t="s">
        <v>196</v>
      </c>
      <c r="I161" s="11">
        <v>2</v>
      </c>
      <c r="J161" s="11" t="s">
        <v>390</v>
      </c>
      <c r="K161" s="11" t="s">
        <v>36</v>
      </c>
      <c r="L161" s="11" t="s">
        <v>70</v>
      </c>
      <c r="M161" s="11"/>
    </row>
    <row r="162" spans="1:13" ht="25.5" x14ac:dyDescent="0.45">
      <c r="A162" s="11" t="s">
        <v>672</v>
      </c>
      <c r="B162" s="11" t="s">
        <v>523</v>
      </c>
      <c r="C162" s="11" t="s">
        <v>666</v>
      </c>
      <c r="D162" s="11" t="s">
        <v>639</v>
      </c>
      <c r="E162" s="11" t="s">
        <v>384</v>
      </c>
      <c r="F162" s="11">
        <v>3</v>
      </c>
      <c r="G162" s="11" t="s">
        <v>670</v>
      </c>
      <c r="H162" s="11" t="s">
        <v>196</v>
      </c>
      <c r="I162" s="11">
        <v>3</v>
      </c>
      <c r="J162" s="11" t="s">
        <v>390</v>
      </c>
      <c r="K162" s="11" t="s">
        <v>38</v>
      </c>
      <c r="L162" s="11" t="s">
        <v>70</v>
      </c>
      <c r="M162" s="11"/>
    </row>
    <row r="163" spans="1:13" x14ac:dyDescent="0.45">
      <c r="A163" s="11" t="s">
        <v>673</v>
      </c>
      <c r="B163" s="11" t="s">
        <v>674</v>
      </c>
      <c r="C163" s="11" t="s">
        <v>675</v>
      </c>
      <c r="D163" s="11" t="s">
        <v>639</v>
      </c>
      <c r="E163" s="11" t="s">
        <v>384</v>
      </c>
      <c r="F163" s="11">
        <v>3</v>
      </c>
      <c r="G163" s="11" t="s">
        <v>670</v>
      </c>
      <c r="H163" s="11" t="s">
        <v>196</v>
      </c>
      <c r="I163" s="11">
        <v>4</v>
      </c>
      <c r="J163" s="11" t="s">
        <v>3</v>
      </c>
      <c r="K163" s="11" t="s">
        <v>3</v>
      </c>
      <c r="L163" s="11" t="s">
        <v>70</v>
      </c>
      <c r="M163" s="11"/>
    </row>
    <row r="164" spans="1:13" x14ac:dyDescent="0.45">
      <c r="A164" s="11" t="s">
        <v>676</v>
      </c>
      <c r="B164" s="11" t="s">
        <v>677</v>
      </c>
      <c r="C164" s="11" t="s">
        <v>675</v>
      </c>
      <c r="D164" s="11" t="s">
        <v>639</v>
      </c>
      <c r="E164" s="11" t="s">
        <v>384</v>
      </c>
      <c r="F164" s="11">
        <v>3</v>
      </c>
      <c r="G164" s="11" t="s">
        <v>670</v>
      </c>
      <c r="H164" s="11" t="s">
        <v>196</v>
      </c>
      <c r="I164" s="11">
        <v>5</v>
      </c>
      <c r="J164" s="11" t="s">
        <v>390</v>
      </c>
      <c r="K164" s="11" t="s">
        <v>38</v>
      </c>
      <c r="L164" s="11" t="s">
        <v>70</v>
      </c>
      <c r="M164" s="11"/>
    </row>
    <row r="165" spans="1:13" x14ac:dyDescent="0.45">
      <c r="A165" s="11" t="s">
        <v>678</v>
      </c>
      <c r="B165" s="11" t="s">
        <v>679</v>
      </c>
      <c r="C165" s="11" t="s">
        <v>675</v>
      </c>
      <c r="D165" s="11" t="s">
        <v>639</v>
      </c>
      <c r="E165" s="11" t="s">
        <v>384</v>
      </c>
      <c r="F165" s="11">
        <v>3</v>
      </c>
      <c r="G165" s="11" t="s">
        <v>670</v>
      </c>
      <c r="H165" s="11" t="s">
        <v>196</v>
      </c>
      <c r="I165" s="11">
        <v>6</v>
      </c>
      <c r="J165" s="11" t="s">
        <v>3</v>
      </c>
      <c r="K165" s="11" t="s">
        <v>3</v>
      </c>
      <c r="L165" s="11" t="s">
        <v>70</v>
      </c>
      <c r="M165" s="11"/>
    </row>
    <row r="166" spans="1:13" x14ac:dyDescent="0.45">
      <c r="A166" s="11" t="s">
        <v>680</v>
      </c>
      <c r="B166" s="11" t="s">
        <v>681</v>
      </c>
      <c r="C166" s="11" t="s">
        <v>675</v>
      </c>
      <c r="D166" s="11" t="s">
        <v>639</v>
      </c>
      <c r="E166" s="11" t="s">
        <v>384</v>
      </c>
      <c r="F166" s="11">
        <v>3</v>
      </c>
      <c r="G166" s="11" t="s">
        <v>670</v>
      </c>
      <c r="H166" s="11" t="s">
        <v>196</v>
      </c>
      <c r="I166" s="11">
        <v>7</v>
      </c>
      <c r="J166" s="11" t="s">
        <v>3</v>
      </c>
      <c r="K166" s="11" t="s">
        <v>3</v>
      </c>
      <c r="L166" s="11" t="s">
        <v>70</v>
      </c>
      <c r="M166" s="11"/>
    </row>
    <row r="167" spans="1:13" x14ac:dyDescent="0.45">
      <c r="A167" s="11" t="s">
        <v>682</v>
      </c>
      <c r="B167" s="11" t="s">
        <v>683</v>
      </c>
      <c r="C167" s="11" t="s">
        <v>675</v>
      </c>
      <c r="D167" s="11" t="s">
        <v>639</v>
      </c>
      <c r="E167" s="11" t="s">
        <v>384</v>
      </c>
      <c r="F167" s="11">
        <v>3</v>
      </c>
      <c r="G167" s="11" t="s">
        <v>670</v>
      </c>
      <c r="H167" s="11" t="s">
        <v>196</v>
      </c>
      <c r="I167" s="11">
        <v>8</v>
      </c>
      <c r="J167" s="11" t="s">
        <v>3</v>
      </c>
      <c r="K167" s="11" t="s">
        <v>3</v>
      </c>
      <c r="L167" s="11" t="s">
        <v>70</v>
      </c>
      <c r="M167" s="11"/>
    </row>
    <row r="168" spans="1:13" x14ac:dyDescent="0.45">
      <c r="A168" s="11" t="s">
        <v>684</v>
      </c>
      <c r="B168" s="11" t="s">
        <v>685</v>
      </c>
      <c r="C168" s="11" t="s">
        <v>675</v>
      </c>
      <c r="D168" s="11" t="s">
        <v>639</v>
      </c>
      <c r="E168" s="11" t="s">
        <v>384</v>
      </c>
      <c r="F168" s="11">
        <v>3</v>
      </c>
      <c r="G168" s="11" t="s">
        <v>670</v>
      </c>
      <c r="H168" s="11" t="s">
        <v>196</v>
      </c>
      <c r="I168" s="11">
        <v>9</v>
      </c>
      <c r="J168" s="11" t="s">
        <v>3</v>
      </c>
      <c r="K168" s="11" t="s">
        <v>3</v>
      </c>
      <c r="L168" s="11" t="s">
        <v>70</v>
      </c>
      <c r="M168" s="11"/>
    </row>
    <row r="169" spans="1:13" x14ac:dyDescent="0.45">
      <c r="A169" s="11" t="s">
        <v>686</v>
      </c>
      <c r="B169" s="11" t="s">
        <v>687</v>
      </c>
      <c r="C169" s="11" t="s">
        <v>675</v>
      </c>
      <c r="D169" s="11" t="s">
        <v>639</v>
      </c>
      <c r="E169" s="11" t="s">
        <v>384</v>
      </c>
      <c r="F169" s="11">
        <v>3</v>
      </c>
      <c r="G169" s="11" t="s">
        <v>670</v>
      </c>
      <c r="H169" s="11" t="s">
        <v>196</v>
      </c>
      <c r="I169" s="11">
        <v>10</v>
      </c>
      <c r="J169" s="11" t="s">
        <v>3</v>
      </c>
      <c r="K169" s="11" t="s">
        <v>3</v>
      </c>
      <c r="L169" s="11" t="s">
        <v>70</v>
      </c>
      <c r="M169" s="11"/>
    </row>
    <row r="170" spans="1:13" x14ac:dyDescent="0.45">
      <c r="A170" s="11" t="s">
        <v>688</v>
      </c>
      <c r="B170" s="11" t="s">
        <v>689</v>
      </c>
      <c r="C170" s="11" t="s">
        <v>675</v>
      </c>
      <c r="D170" s="11" t="s">
        <v>639</v>
      </c>
      <c r="E170" s="11" t="s">
        <v>384</v>
      </c>
      <c r="F170" s="11">
        <v>3</v>
      </c>
      <c r="G170" s="11" t="s">
        <v>670</v>
      </c>
      <c r="H170" s="11" t="s">
        <v>196</v>
      </c>
      <c r="I170" s="11">
        <v>11</v>
      </c>
      <c r="J170" s="11" t="s">
        <v>3</v>
      </c>
      <c r="K170" s="11" t="s">
        <v>3</v>
      </c>
      <c r="L170" s="11" t="s">
        <v>70</v>
      </c>
      <c r="M170" s="11"/>
    </row>
    <row r="171" spans="1:13" x14ac:dyDescent="0.45">
      <c r="A171" s="11" t="s">
        <v>690</v>
      </c>
      <c r="B171" s="11" t="s">
        <v>691</v>
      </c>
      <c r="C171" s="11" t="s">
        <v>675</v>
      </c>
      <c r="D171" s="11" t="s">
        <v>639</v>
      </c>
      <c r="E171" s="11" t="s">
        <v>384</v>
      </c>
      <c r="F171" s="11">
        <v>3</v>
      </c>
      <c r="G171" s="11" t="s">
        <v>670</v>
      </c>
      <c r="H171" s="11" t="s">
        <v>196</v>
      </c>
      <c r="I171" s="11">
        <v>12</v>
      </c>
      <c r="J171" s="11" t="s">
        <v>3</v>
      </c>
      <c r="K171" s="11" t="s">
        <v>3</v>
      </c>
      <c r="L171" s="11" t="s">
        <v>70</v>
      </c>
      <c r="M171" s="11"/>
    </row>
    <row r="172" spans="1:13" x14ac:dyDescent="0.45">
      <c r="A172" s="11" t="s">
        <v>692</v>
      </c>
      <c r="B172" s="11" t="s">
        <v>693</v>
      </c>
      <c r="C172" s="11" t="s">
        <v>675</v>
      </c>
      <c r="D172" s="11" t="s">
        <v>639</v>
      </c>
      <c r="E172" s="11" t="s">
        <v>384</v>
      </c>
      <c r="F172" s="11">
        <v>3</v>
      </c>
      <c r="G172" s="11" t="s">
        <v>670</v>
      </c>
      <c r="H172" s="11" t="s">
        <v>196</v>
      </c>
      <c r="I172" s="11">
        <v>13</v>
      </c>
      <c r="J172" s="11" t="s">
        <v>3</v>
      </c>
      <c r="K172" s="11" t="s">
        <v>3</v>
      </c>
      <c r="L172" s="11" t="s">
        <v>70</v>
      </c>
      <c r="M172" s="11"/>
    </row>
    <row r="173" spans="1:13" x14ac:dyDescent="0.45">
      <c r="A173" s="11" t="s">
        <v>694</v>
      </c>
      <c r="B173" s="11" t="s">
        <v>695</v>
      </c>
      <c r="C173" s="11" t="s">
        <v>675</v>
      </c>
      <c r="D173" s="11" t="s">
        <v>639</v>
      </c>
      <c r="E173" s="11" t="s">
        <v>384</v>
      </c>
      <c r="F173" s="11">
        <v>3</v>
      </c>
      <c r="G173" s="11" t="s">
        <v>670</v>
      </c>
      <c r="H173" s="11" t="s">
        <v>196</v>
      </c>
      <c r="I173" s="11">
        <v>14</v>
      </c>
      <c r="J173" s="11" t="s">
        <v>3</v>
      </c>
      <c r="K173" s="11" t="s">
        <v>3</v>
      </c>
      <c r="L173" s="11" t="s">
        <v>70</v>
      </c>
      <c r="M173" s="11"/>
    </row>
    <row r="174" spans="1:13" x14ac:dyDescent="0.45">
      <c r="A174" s="11" t="s">
        <v>696</v>
      </c>
      <c r="B174" s="11" t="s">
        <v>697</v>
      </c>
      <c r="C174" s="11" t="s">
        <v>675</v>
      </c>
      <c r="D174" s="11" t="s">
        <v>639</v>
      </c>
      <c r="E174" s="11" t="s">
        <v>384</v>
      </c>
      <c r="F174" s="11">
        <v>3</v>
      </c>
      <c r="G174" s="11" t="s">
        <v>670</v>
      </c>
      <c r="H174" s="11" t="s">
        <v>196</v>
      </c>
      <c r="I174" s="11">
        <v>15</v>
      </c>
      <c r="J174" s="11" t="s">
        <v>3</v>
      </c>
      <c r="K174" s="11" t="s">
        <v>3</v>
      </c>
      <c r="L174" s="11" t="s">
        <v>70</v>
      </c>
      <c r="M174" s="11"/>
    </row>
    <row r="175" spans="1:13" x14ac:dyDescent="0.45">
      <c r="A175" s="11" t="s">
        <v>698</v>
      </c>
      <c r="B175" s="11" t="s">
        <v>579</v>
      </c>
      <c r="C175" s="11" t="s">
        <v>675</v>
      </c>
      <c r="D175" s="11" t="s">
        <v>639</v>
      </c>
      <c r="E175" s="11" t="s">
        <v>384</v>
      </c>
      <c r="F175" s="11">
        <v>3</v>
      </c>
      <c r="G175" s="11" t="s">
        <v>670</v>
      </c>
      <c r="H175" s="11" t="s">
        <v>196</v>
      </c>
      <c r="I175" s="11">
        <v>16</v>
      </c>
      <c r="J175" s="11" t="s">
        <v>390</v>
      </c>
      <c r="K175" s="11" t="s">
        <v>40</v>
      </c>
      <c r="L175" s="11" t="s">
        <v>70</v>
      </c>
      <c r="M175" s="11"/>
    </row>
    <row r="176" spans="1:13" x14ac:dyDescent="0.45">
      <c r="A176" s="11" t="s">
        <v>699</v>
      </c>
      <c r="B176" s="11" t="s">
        <v>700</v>
      </c>
      <c r="C176" s="11" t="s">
        <v>675</v>
      </c>
      <c r="D176" s="11" t="s">
        <v>639</v>
      </c>
      <c r="E176" s="11" t="s">
        <v>384</v>
      </c>
      <c r="F176" s="11">
        <v>3</v>
      </c>
      <c r="G176" s="11" t="s">
        <v>701</v>
      </c>
      <c r="H176" s="11" t="s">
        <v>196</v>
      </c>
      <c r="I176" s="11">
        <v>1</v>
      </c>
      <c r="J176" s="11" t="s">
        <v>399</v>
      </c>
      <c r="K176" s="11" t="s">
        <v>38</v>
      </c>
      <c r="L176" s="11" t="s">
        <v>70</v>
      </c>
      <c r="M176" s="11"/>
    </row>
    <row r="177" spans="1:13" x14ac:dyDescent="0.45">
      <c r="A177" s="11" t="s">
        <v>702</v>
      </c>
      <c r="B177" s="11" t="s">
        <v>703</v>
      </c>
      <c r="C177" s="11" t="s">
        <v>638</v>
      </c>
      <c r="D177" s="11" t="s">
        <v>639</v>
      </c>
      <c r="E177" s="11" t="s">
        <v>471</v>
      </c>
      <c r="F177" s="11">
        <v>3</v>
      </c>
      <c r="G177" s="11" t="s">
        <v>704</v>
      </c>
      <c r="H177" s="11" t="s">
        <v>205</v>
      </c>
      <c r="I177" s="11">
        <v>1</v>
      </c>
      <c r="J177" s="11" t="s">
        <v>473</v>
      </c>
      <c r="K177" s="11" t="s">
        <v>70</v>
      </c>
      <c r="L177" s="11" t="s">
        <v>474</v>
      </c>
      <c r="M177" s="11" t="s">
        <v>475</v>
      </c>
    </row>
    <row r="178" spans="1:13" ht="25.5" x14ac:dyDescent="0.45">
      <c r="A178" s="11" t="s">
        <v>705</v>
      </c>
      <c r="B178" s="11" t="s">
        <v>706</v>
      </c>
      <c r="C178" s="11" t="s">
        <v>638</v>
      </c>
      <c r="D178" s="11" t="s">
        <v>639</v>
      </c>
      <c r="E178" s="11" t="s">
        <v>471</v>
      </c>
      <c r="F178" s="11">
        <v>3</v>
      </c>
      <c r="G178" s="11" t="s">
        <v>704</v>
      </c>
      <c r="H178" s="11" t="s">
        <v>205</v>
      </c>
      <c r="I178" s="11">
        <v>2</v>
      </c>
      <c r="J178" s="11" t="s">
        <v>473</v>
      </c>
      <c r="K178" s="11" t="s">
        <v>70</v>
      </c>
      <c r="L178" s="11" t="s">
        <v>474</v>
      </c>
      <c r="M178" s="11" t="s">
        <v>478</v>
      </c>
    </row>
    <row r="179" spans="1:13" x14ac:dyDescent="0.45">
      <c r="A179" s="11" t="s">
        <v>707</v>
      </c>
      <c r="B179" s="11" t="s">
        <v>708</v>
      </c>
      <c r="C179" s="11" t="s">
        <v>638</v>
      </c>
      <c r="D179" s="11" t="s">
        <v>639</v>
      </c>
      <c r="E179" s="11" t="s">
        <v>471</v>
      </c>
      <c r="F179" s="11">
        <v>3</v>
      </c>
      <c r="G179" s="11" t="s">
        <v>704</v>
      </c>
      <c r="H179" s="11" t="s">
        <v>205</v>
      </c>
      <c r="I179" s="11">
        <v>3</v>
      </c>
      <c r="J179" s="11" t="s">
        <v>473</v>
      </c>
      <c r="K179" s="11" t="s">
        <v>70</v>
      </c>
      <c r="L179" s="11" t="s">
        <v>474</v>
      </c>
      <c r="M179" s="11" t="s">
        <v>475</v>
      </c>
    </row>
    <row r="180" spans="1:13" ht="25.5" x14ac:dyDescent="0.45">
      <c r="A180" s="11" t="s">
        <v>709</v>
      </c>
      <c r="B180" s="11" t="s">
        <v>710</v>
      </c>
      <c r="C180" s="11" t="s">
        <v>638</v>
      </c>
      <c r="D180" s="11" t="s">
        <v>639</v>
      </c>
      <c r="E180" s="11" t="s">
        <v>471</v>
      </c>
      <c r="F180" s="11">
        <v>3</v>
      </c>
      <c r="G180" s="11" t="s">
        <v>704</v>
      </c>
      <c r="H180" s="11" t="s">
        <v>205</v>
      </c>
      <c r="I180" s="11">
        <v>4</v>
      </c>
      <c r="J180" s="11" t="s">
        <v>473</v>
      </c>
      <c r="K180" s="11" t="s">
        <v>70</v>
      </c>
      <c r="L180" s="11" t="s">
        <v>474</v>
      </c>
      <c r="M180" s="11" t="s">
        <v>478</v>
      </c>
    </row>
    <row r="181" spans="1:13" x14ac:dyDescent="0.45">
      <c r="A181" s="11" t="s">
        <v>711</v>
      </c>
      <c r="B181" s="11" t="s">
        <v>712</v>
      </c>
      <c r="C181" s="11" t="s">
        <v>638</v>
      </c>
      <c r="D181" s="11" t="s">
        <v>639</v>
      </c>
      <c r="E181" s="11" t="s">
        <v>471</v>
      </c>
      <c r="F181" s="11">
        <v>3</v>
      </c>
      <c r="G181" s="11" t="s">
        <v>704</v>
      </c>
      <c r="H181" s="11" t="s">
        <v>205</v>
      </c>
      <c r="I181" s="11">
        <v>5</v>
      </c>
      <c r="J181" s="11" t="s">
        <v>473</v>
      </c>
      <c r="K181" s="11" t="s">
        <v>70</v>
      </c>
      <c r="L181" s="11" t="s">
        <v>474</v>
      </c>
      <c r="M181" s="11" t="s">
        <v>475</v>
      </c>
    </row>
    <row r="182" spans="1:13" ht="25.5" x14ac:dyDescent="0.45">
      <c r="A182" s="11" t="s">
        <v>713</v>
      </c>
      <c r="B182" s="11" t="s">
        <v>714</v>
      </c>
      <c r="C182" s="11" t="s">
        <v>638</v>
      </c>
      <c r="D182" s="11" t="s">
        <v>639</v>
      </c>
      <c r="E182" s="11" t="s">
        <v>471</v>
      </c>
      <c r="F182" s="11">
        <v>3</v>
      </c>
      <c r="G182" s="11" t="s">
        <v>704</v>
      </c>
      <c r="H182" s="11" t="s">
        <v>205</v>
      </c>
      <c r="I182" s="11">
        <v>6</v>
      </c>
      <c r="J182" s="11" t="s">
        <v>473</v>
      </c>
      <c r="K182" s="11" t="s">
        <v>70</v>
      </c>
      <c r="L182" s="11" t="s">
        <v>474</v>
      </c>
      <c r="M182" s="11" t="s">
        <v>478</v>
      </c>
    </row>
    <row r="183" spans="1:13" x14ac:dyDescent="0.45">
      <c r="A183" s="11" t="s">
        <v>715</v>
      </c>
      <c r="B183" s="11" t="s">
        <v>716</v>
      </c>
      <c r="C183" s="11" t="s">
        <v>675</v>
      </c>
      <c r="D183" s="11" t="s">
        <v>639</v>
      </c>
      <c r="E183" s="11" t="s">
        <v>471</v>
      </c>
      <c r="F183" s="11">
        <v>3</v>
      </c>
      <c r="G183" s="11" t="s">
        <v>704</v>
      </c>
      <c r="H183" s="11" t="s">
        <v>205</v>
      </c>
      <c r="I183" s="11">
        <v>7</v>
      </c>
      <c r="J183" s="11" t="s">
        <v>473</v>
      </c>
      <c r="K183" s="11" t="s">
        <v>70</v>
      </c>
      <c r="L183" s="11" t="s">
        <v>474</v>
      </c>
      <c r="M183" s="11" t="s">
        <v>475</v>
      </c>
    </row>
    <row r="184" spans="1:13" x14ac:dyDescent="0.45">
      <c r="A184" s="11" t="s">
        <v>717</v>
      </c>
      <c r="B184" s="11" t="s">
        <v>718</v>
      </c>
      <c r="C184" s="11" t="s">
        <v>675</v>
      </c>
      <c r="D184" s="11" t="s">
        <v>639</v>
      </c>
      <c r="E184" s="11" t="s">
        <v>471</v>
      </c>
      <c r="F184" s="11">
        <v>3</v>
      </c>
      <c r="G184" s="11" t="s">
        <v>704</v>
      </c>
      <c r="H184" s="11" t="s">
        <v>205</v>
      </c>
      <c r="I184" s="11">
        <v>8</v>
      </c>
      <c r="J184" s="11" t="s">
        <v>473</v>
      </c>
      <c r="K184" s="11" t="s">
        <v>70</v>
      </c>
      <c r="L184" s="11" t="s">
        <v>474</v>
      </c>
      <c r="M184" s="11" t="s">
        <v>475</v>
      </c>
    </row>
    <row r="185" spans="1:13" ht="25.5" x14ac:dyDescent="0.45">
      <c r="A185" s="11" t="s">
        <v>719</v>
      </c>
      <c r="B185" s="11" t="s">
        <v>637</v>
      </c>
      <c r="C185" s="11" t="s">
        <v>720</v>
      </c>
      <c r="D185" s="11" t="s">
        <v>721</v>
      </c>
      <c r="E185" s="11" t="s">
        <v>384</v>
      </c>
      <c r="F185" s="11">
        <v>4</v>
      </c>
      <c r="G185" s="11" t="s">
        <v>722</v>
      </c>
      <c r="H185" s="11" t="s">
        <v>196</v>
      </c>
      <c r="I185" s="11">
        <v>1</v>
      </c>
      <c r="J185" s="11" t="s">
        <v>3</v>
      </c>
      <c r="K185" s="11" t="s">
        <v>3</v>
      </c>
      <c r="L185" s="11" t="s">
        <v>70</v>
      </c>
      <c r="M185" s="11"/>
    </row>
    <row r="186" spans="1:13" ht="25.5" x14ac:dyDescent="0.45">
      <c r="A186" s="11" t="s">
        <v>723</v>
      </c>
      <c r="B186" s="11" t="s">
        <v>642</v>
      </c>
      <c r="C186" s="11" t="s">
        <v>720</v>
      </c>
      <c r="D186" s="11" t="s">
        <v>721</v>
      </c>
      <c r="E186" s="11" t="s">
        <v>384</v>
      </c>
      <c r="F186" s="11">
        <v>4</v>
      </c>
      <c r="G186" s="11" t="s">
        <v>722</v>
      </c>
      <c r="H186" s="11" t="s">
        <v>196</v>
      </c>
      <c r="I186" s="11">
        <v>2</v>
      </c>
      <c r="J186" s="11" t="s">
        <v>3</v>
      </c>
      <c r="K186" s="11" t="s">
        <v>3</v>
      </c>
      <c r="L186" s="11" t="s">
        <v>70</v>
      </c>
      <c r="M186" s="11"/>
    </row>
    <row r="187" spans="1:13" ht="25.5" x14ac:dyDescent="0.45">
      <c r="A187" s="11" t="s">
        <v>724</v>
      </c>
      <c r="B187" s="11" t="s">
        <v>644</v>
      </c>
      <c r="C187" s="11" t="s">
        <v>720</v>
      </c>
      <c r="D187" s="11" t="s">
        <v>721</v>
      </c>
      <c r="E187" s="11" t="s">
        <v>384</v>
      </c>
      <c r="F187" s="11">
        <v>4</v>
      </c>
      <c r="G187" s="11" t="s">
        <v>722</v>
      </c>
      <c r="H187" s="11" t="s">
        <v>196</v>
      </c>
      <c r="I187" s="11">
        <v>3</v>
      </c>
      <c r="J187" s="11" t="s">
        <v>3</v>
      </c>
      <c r="K187" s="11" t="s">
        <v>3</v>
      </c>
      <c r="L187" s="11" t="s">
        <v>70</v>
      </c>
      <c r="M187" s="11"/>
    </row>
    <row r="188" spans="1:13" ht="25.5" x14ac:dyDescent="0.45">
      <c r="A188" s="11" t="s">
        <v>725</v>
      </c>
      <c r="B188" s="11" t="s">
        <v>646</v>
      </c>
      <c r="C188" s="11" t="s">
        <v>720</v>
      </c>
      <c r="D188" s="11" t="s">
        <v>721</v>
      </c>
      <c r="E188" s="11" t="s">
        <v>384</v>
      </c>
      <c r="F188" s="11">
        <v>4</v>
      </c>
      <c r="G188" s="11" t="s">
        <v>722</v>
      </c>
      <c r="H188" s="11" t="s">
        <v>196</v>
      </c>
      <c r="I188" s="11">
        <v>4</v>
      </c>
      <c r="J188" s="11" t="s">
        <v>3</v>
      </c>
      <c r="K188" s="11" t="s">
        <v>3</v>
      </c>
      <c r="L188" s="11" t="s">
        <v>70</v>
      </c>
      <c r="M188" s="11"/>
    </row>
    <row r="189" spans="1:13" ht="25.5" x14ac:dyDescent="0.45">
      <c r="A189" s="11" t="s">
        <v>726</v>
      </c>
      <c r="B189" s="11" t="s">
        <v>648</v>
      </c>
      <c r="C189" s="11" t="s">
        <v>720</v>
      </c>
      <c r="D189" s="11" t="s">
        <v>721</v>
      </c>
      <c r="E189" s="11" t="s">
        <v>384</v>
      </c>
      <c r="F189" s="11">
        <v>4</v>
      </c>
      <c r="G189" s="11" t="s">
        <v>722</v>
      </c>
      <c r="H189" s="11" t="s">
        <v>196</v>
      </c>
      <c r="I189" s="11">
        <v>5</v>
      </c>
      <c r="J189" s="11" t="s">
        <v>3</v>
      </c>
      <c r="K189" s="11" t="s">
        <v>3</v>
      </c>
      <c r="L189" s="11" t="s">
        <v>70</v>
      </c>
      <c r="M189" s="11"/>
    </row>
    <row r="190" spans="1:13" ht="25.5" x14ac:dyDescent="0.45">
      <c r="A190" s="11" t="s">
        <v>727</v>
      </c>
      <c r="B190" s="11" t="s">
        <v>650</v>
      </c>
      <c r="C190" s="11" t="s">
        <v>720</v>
      </c>
      <c r="D190" s="11" t="s">
        <v>721</v>
      </c>
      <c r="E190" s="11" t="s">
        <v>384</v>
      </c>
      <c r="F190" s="11">
        <v>4</v>
      </c>
      <c r="G190" s="11" t="s">
        <v>722</v>
      </c>
      <c r="H190" s="11" t="s">
        <v>196</v>
      </c>
      <c r="I190" s="11">
        <v>6</v>
      </c>
      <c r="J190" s="11" t="s">
        <v>3</v>
      </c>
      <c r="K190" s="11" t="s">
        <v>3</v>
      </c>
      <c r="L190" s="11" t="s">
        <v>70</v>
      </c>
      <c r="M190" s="11"/>
    </row>
    <row r="191" spans="1:13" ht="25.5" x14ac:dyDescent="0.45">
      <c r="A191" s="11" t="s">
        <v>728</v>
      </c>
      <c r="B191" s="11" t="s">
        <v>652</v>
      </c>
      <c r="C191" s="11" t="s">
        <v>720</v>
      </c>
      <c r="D191" s="11" t="s">
        <v>721</v>
      </c>
      <c r="E191" s="11" t="s">
        <v>384</v>
      </c>
      <c r="F191" s="11">
        <v>4</v>
      </c>
      <c r="G191" s="11" t="s">
        <v>722</v>
      </c>
      <c r="H191" s="11" t="s">
        <v>196</v>
      </c>
      <c r="I191" s="11">
        <v>7</v>
      </c>
      <c r="J191" s="11" t="s">
        <v>3</v>
      </c>
      <c r="K191" s="11" t="s">
        <v>3</v>
      </c>
      <c r="L191" s="11" t="s">
        <v>70</v>
      </c>
      <c r="M191" s="11"/>
    </row>
    <row r="192" spans="1:13" ht="25.5" x14ac:dyDescent="0.45">
      <c r="A192" s="11" t="s">
        <v>729</v>
      </c>
      <c r="B192" s="11" t="s">
        <v>654</v>
      </c>
      <c r="C192" s="11" t="s">
        <v>720</v>
      </c>
      <c r="D192" s="11" t="s">
        <v>721</v>
      </c>
      <c r="E192" s="11" t="s">
        <v>384</v>
      </c>
      <c r="F192" s="11">
        <v>4</v>
      </c>
      <c r="G192" s="11" t="s">
        <v>722</v>
      </c>
      <c r="H192" s="11" t="s">
        <v>196</v>
      </c>
      <c r="I192" s="11">
        <v>8</v>
      </c>
      <c r="J192" s="11" t="s">
        <v>3</v>
      </c>
      <c r="K192" s="11" t="s">
        <v>3</v>
      </c>
      <c r="L192" s="11" t="s">
        <v>70</v>
      </c>
      <c r="M192" s="11"/>
    </row>
    <row r="193" spans="1:13" ht="25.5" x14ac:dyDescent="0.45">
      <c r="A193" s="11" t="s">
        <v>730</v>
      </c>
      <c r="B193" s="11" t="s">
        <v>656</v>
      </c>
      <c r="C193" s="11" t="s">
        <v>720</v>
      </c>
      <c r="D193" s="11" t="s">
        <v>721</v>
      </c>
      <c r="E193" s="11" t="s">
        <v>384</v>
      </c>
      <c r="F193" s="11">
        <v>4</v>
      </c>
      <c r="G193" s="11" t="s">
        <v>722</v>
      </c>
      <c r="H193" s="11" t="s">
        <v>196</v>
      </c>
      <c r="I193" s="11">
        <v>9</v>
      </c>
      <c r="J193" s="11" t="s">
        <v>3</v>
      </c>
      <c r="K193" s="11" t="s">
        <v>3</v>
      </c>
      <c r="L193" s="11" t="s">
        <v>70</v>
      </c>
      <c r="M193" s="11"/>
    </row>
    <row r="194" spans="1:13" ht="25.5" x14ac:dyDescent="0.45">
      <c r="A194" s="11" t="s">
        <v>731</v>
      </c>
      <c r="B194" s="11" t="s">
        <v>658</v>
      </c>
      <c r="C194" s="11" t="s">
        <v>720</v>
      </c>
      <c r="D194" s="11" t="s">
        <v>721</v>
      </c>
      <c r="E194" s="11" t="s">
        <v>384</v>
      </c>
      <c r="F194" s="11">
        <v>4</v>
      </c>
      <c r="G194" s="11" t="s">
        <v>722</v>
      </c>
      <c r="H194" s="11" t="s">
        <v>196</v>
      </c>
      <c r="I194" s="11">
        <v>10</v>
      </c>
      <c r="J194" s="11" t="s">
        <v>390</v>
      </c>
      <c r="K194" s="11" t="s">
        <v>36</v>
      </c>
      <c r="L194" s="11" t="s">
        <v>70</v>
      </c>
      <c r="M194" s="11"/>
    </row>
    <row r="195" spans="1:13" ht="25.5" x14ac:dyDescent="0.45">
      <c r="A195" s="11" t="s">
        <v>732</v>
      </c>
      <c r="B195" s="11" t="s">
        <v>660</v>
      </c>
      <c r="C195" s="11" t="s">
        <v>720</v>
      </c>
      <c r="D195" s="11" t="s">
        <v>721</v>
      </c>
      <c r="E195" s="11" t="s">
        <v>384</v>
      </c>
      <c r="F195" s="11">
        <v>4</v>
      </c>
      <c r="G195" s="11" t="s">
        <v>722</v>
      </c>
      <c r="H195" s="11" t="s">
        <v>196</v>
      </c>
      <c r="I195" s="11">
        <v>11</v>
      </c>
      <c r="J195" s="11" t="s">
        <v>390</v>
      </c>
      <c r="K195" s="11" t="s">
        <v>38</v>
      </c>
      <c r="L195" s="11" t="s">
        <v>70</v>
      </c>
      <c r="M195" s="11"/>
    </row>
    <row r="196" spans="1:13" ht="25.5" x14ac:dyDescent="0.45">
      <c r="A196" s="11" t="s">
        <v>733</v>
      </c>
      <c r="B196" s="11" t="s">
        <v>662</v>
      </c>
      <c r="C196" s="11" t="s">
        <v>720</v>
      </c>
      <c r="D196" s="11" t="s">
        <v>721</v>
      </c>
      <c r="E196" s="11" t="s">
        <v>384</v>
      </c>
      <c r="F196" s="11">
        <v>4</v>
      </c>
      <c r="G196" s="11" t="s">
        <v>722</v>
      </c>
      <c r="H196" s="11" t="s">
        <v>196</v>
      </c>
      <c r="I196" s="11">
        <v>12</v>
      </c>
      <c r="J196" s="11" t="s">
        <v>3</v>
      </c>
      <c r="K196" s="11" t="s">
        <v>3</v>
      </c>
      <c r="L196" s="11" t="s">
        <v>70</v>
      </c>
      <c r="M196" s="11"/>
    </row>
    <row r="197" spans="1:13" ht="25.5" x14ac:dyDescent="0.45">
      <c r="A197" s="11" t="s">
        <v>734</v>
      </c>
      <c r="B197" s="11" t="s">
        <v>664</v>
      </c>
      <c r="C197" s="11" t="s">
        <v>720</v>
      </c>
      <c r="D197" s="11" t="s">
        <v>721</v>
      </c>
      <c r="E197" s="11" t="s">
        <v>384</v>
      </c>
      <c r="F197" s="11">
        <v>4</v>
      </c>
      <c r="G197" s="11" t="s">
        <v>722</v>
      </c>
      <c r="H197" s="11" t="s">
        <v>196</v>
      </c>
      <c r="I197" s="11">
        <v>13</v>
      </c>
      <c r="J197" s="11" t="s">
        <v>390</v>
      </c>
      <c r="K197" s="11" t="s">
        <v>38</v>
      </c>
      <c r="L197" s="11" t="s">
        <v>70</v>
      </c>
      <c r="M197" s="11"/>
    </row>
    <row r="198" spans="1:13" ht="25.5" x14ac:dyDescent="0.45">
      <c r="A198" s="11" t="s">
        <v>735</v>
      </c>
      <c r="B198" s="11" t="s">
        <v>511</v>
      </c>
      <c r="C198" s="11" t="s">
        <v>736</v>
      </c>
      <c r="D198" s="11" t="s">
        <v>721</v>
      </c>
      <c r="E198" s="11" t="s">
        <v>384</v>
      </c>
      <c r="F198" s="11">
        <v>4</v>
      </c>
      <c r="G198" s="11" t="s">
        <v>722</v>
      </c>
      <c r="H198" s="11" t="s">
        <v>196</v>
      </c>
      <c r="I198" s="11">
        <v>14</v>
      </c>
      <c r="J198" s="11" t="s">
        <v>390</v>
      </c>
      <c r="K198" s="11" t="s">
        <v>40</v>
      </c>
      <c r="L198" s="11" t="s">
        <v>70</v>
      </c>
      <c r="M198" s="11"/>
    </row>
    <row r="199" spans="1:13" ht="25.5" x14ac:dyDescent="0.45">
      <c r="A199" s="11" t="s">
        <v>737</v>
      </c>
      <c r="B199" s="11" t="s">
        <v>515</v>
      </c>
      <c r="C199" s="11" t="s">
        <v>736</v>
      </c>
      <c r="D199" s="11" t="s">
        <v>721</v>
      </c>
      <c r="E199" s="11" t="s">
        <v>384</v>
      </c>
      <c r="F199" s="11">
        <v>4</v>
      </c>
      <c r="G199" s="11" t="s">
        <v>722</v>
      </c>
      <c r="H199" s="11" t="s">
        <v>196</v>
      </c>
      <c r="I199" s="11">
        <v>15</v>
      </c>
      <c r="J199" s="11" t="s">
        <v>390</v>
      </c>
      <c r="K199" s="11" t="s">
        <v>36</v>
      </c>
      <c r="L199" s="11" t="s">
        <v>70</v>
      </c>
      <c r="M199" s="11"/>
    </row>
    <row r="200" spans="1:13" ht="25.5" x14ac:dyDescent="0.45">
      <c r="A200" s="11" t="s">
        <v>738</v>
      </c>
      <c r="B200" s="11" t="s">
        <v>517</v>
      </c>
      <c r="C200" s="11" t="s">
        <v>736</v>
      </c>
      <c r="D200" s="11" t="s">
        <v>721</v>
      </c>
      <c r="E200" s="11" t="s">
        <v>384</v>
      </c>
      <c r="F200" s="11">
        <v>4</v>
      </c>
      <c r="G200" s="11" t="s">
        <v>722</v>
      </c>
      <c r="H200" s="11" t="s">
        <v>196</v>
      </c>
      <c r="I200" s="11">
        <v>16</v>
      </c>
      <c r="J200" s="11" t="s">
        <v>390</v>
      </c>
      <c r="K200" s="11" t="s">
        <v>40</v>
      </c>
      <c r="L200" s="11" t="s">
        <v>70</v>
      </c>
      <c r="M200" s="11"/>
    </row>
    <row r="201" spans="1:13" ht="25.5" x14ac:dyDescent="0.45">
      <c r="A201" s="11" t="s">
        <v>739</v>
      </c>
      <c r="B201" s="11" t="s">
        <v>519</v>
      </c>
      <c r="C201" s="11" t="s">
        <v>736</v>
      </c>
      <c r="D201" s="11" t="s">
        <v>721</v>
      </c>
      <c r="E201" s="11" t="s">
        <v>384</v>
      </c>
      <c r="F201" s="11">
        <v>4</v>
      </c>
      <c r="G201" s="11" t="s">
        <v>740</v>
      </c>
      <c r="H201" s="11" t="s">
        <v>196</v>
      </c>
      <c r="I201" s="11">
        <v>1</v>
      </c>
      <c r="J201" s="11" t="s">
        <v>390</v>
      </c>
      <c r="K201" s="11" t="s">
        <v>36</v>
      </c>
      <c r="L201" s="11" t="s">
        <v>70</v>
      </c>
      <c r="M201" s="11"/>
    </row>
    <row r="202" spans="1:13" ht="25.5" x14ac:dyDescent="0.45">
      <c r="A202" s="11" t="s">
        <v>741</v>
      </c>
      <c r="B202" s="11" t="s">
        <v>521</v>
      </c>
      <c r="C202" s="11" t="s">
        <v>736</v>
      </c>
      <c r="D202" s="11" t="s">
        <v>721</v>
      </c>
      <c r="E202" s="11" t="s">
        <v>384</v>
      </c>
      <c r="F202" s="11">
        <v>4</v>
      </c>
      <c r="G202" s="11" t="s">
        <v>740</v>
      </c>
      <c r="H202" s="11" t="s">
        <v>196</v>
      </c>
      <c r="I202" s="11">
        <v>2</v>
      </c>
      <c r="J202" s="11" t="s">
        <v>390</v>
      </c>
      <c r="K202" s="11" t="s">
        <v>36</v>
      </c>
      <c r="L202" s="11" t="s">
        <v>70</v>
      </c>
      <c r="M202" s="11"/>
    </row>
    <row r="203" spans="1:13" ht="25.5" x14ac:dyDescent="0.45">
      <c r="A203" s="11" t="s">
        <v>742</v>
      </c>
      <c r="B203" s="11" t="s">
        <v>523</v>
      </c>
      <c r="C203" s="11" t="s">
        <v>736</v>
      </c>
      <c r="D203" s="11" t="s">
        <v>721</v>
      </c>
      <c r="E203" s="11" t="s">
        <v>384</v>
      </c>
      <c r="F203" s="11">
        <v>4</v>
      </c>
      <c r="G203" s="11" t="s">
        <v>740</v>
      </c>
      <c r="H203" s="11" t="s">
        <v>196</v>
      </c>
      <c r="I203" s="11">
        <v>3</v>
      </c>
      <c r="J203" s="11" t="s">
        <v>390</v>
      </c>
      <c r="K203" s="11" t="s">
        <v>38</v>
      </c>
      <c r="L203" s="11" t="s">
        <v>70</v>
      </c>
      <c r="M203" s="11"/>
    </row>
    <row r="204" spans="1:13" ht="25.5" x14ac:dyDescent="0.45">
      <c r="A204" s="11" t="s">
        <v>743</v>
      </c>
      <c r="B204" s="11" t="s">
        <v>674</v>
      </c>
      <c r="C204" s="11" t="s">
        <v>744</v>
      </c>
      <c r="D204" s="11" t="s">
        <v>721</v>
      </c>
      <c r="E204" s="11" t="s">
        <v>384</v>
      </c>
      <c r="F204" s="11">
        <v>4</v>
      </c>
      <c r="G204" s="11" t="s">
        <v>740</v>
      </c>
      <c r="H204" s="11" t="s">
        <v>196</v>
      </c>
      <c r="I204" s="11">
        <v>4</v>
      </c>
      <c r="J204" s="11" t="s">
        <v>3</v>
      </c>
      <c r="K204" s="11" t="s">
        <v>3</v>
      </c>
      <c r="L204" s="11" t="s">
        <v>70</v>
      </c>
      <c r="M204" s="11"/>
    </row>
    <row r="205" spans="1:13" ht="25.5" x14ac:dyDescent="0.45">
      <c r="A205" s="11" t="s">
        <v>745</v>
      </c>
      <c r="B205" s="11" t="s">
        <v>677</v>
      </c>
      <c r="C205" s="11" t="s">
        <v>744</v>
      </c>
      <c r="D205" s="11" t="s">
        <v>721</v>
      </c>
      <c r="E205" s="11" t="s">
        <v>384</v>
      </c>
      <c r="F205" s="11">
        <v>4</v>
      </c>
      <c r="G205" s="11" t="s">
        <v>740</v>
      </c>
      <c r="H205" s="11" t="s">
        <v>196</v>
      </c>
      <c r="I205" s="11">
        <v>5</v>
      </c>
      <c r="J205" s="11" t="s">
        <v>390</v>
      </c>
      <c r="K205" s="11" t="s">
        <v>38</v>
      </c>
      <c r="L205" s="11" t="s">
        <v>70</v>
      </c>
      <c r="M205" s="11"/>
    </row>
    <row r="206" spans="1:13" ht="25.5" x14ac:dyDescent="0.45">
      <c r="A206" s="11" t="s">
        <v>746</v>
      </c>
      <c r="B206" s="11" t="s">
        <v>679</v>
      </c>
      <c r="C206" s="11" t="s">
        <v>744</v>
      </c>
      <c r="D206" s="11" t="s">
        <v>721</v>
      </c>
      <c r="E206" s="11" t="s">
        <v>384</v>
      </c>
      <c r="F206" s="11">
        <v>4</v>
      </c>
      <c r="G206" s="11" t="s">
        <v>740</v>
      </c>
      <c r="H206" s="11" t="s">
        <v>196</v>
      </c>
      <c r="I206" s="11">
        <v>6</v>
      </c>
      <c r="J206" s="11" t="s">
        <v>3</v>
      </c>
      <c r="K206" s="11" t="s">
        <v>3</v>
      </c>
      <c r="L206" s="11" t="s">
        <v>70</v>
      </c>
      <c r="M206" s="11"/>
    </row>
    <row r="207" spans="1:13" ht="25.5" x14ac:dyDescent="0.45">
      <c r="A207" s="11" t="s">
        <v>747</v>
      </c>
      <c r="B207" s="11" t="s">
        <v>681</v>
      </c>
      <c r="C207" s="11" t="s">
        <v>744</v>
      </c>
      <c r="D207" s="11" t="s">
        <v>721</v>
      </c>
      <c r="E207" s="11" t="s">
        <v>384</v>
      </c>
      <c r="F207" s="11">
        <v>4</v>
      </c>
      <c r="G207" s="11" t="s">
        <v>740</v>
      </c>
      <c r="H207" s="11" t="s">
        <v>196</v>
      </c>
      <c r="I207" s="11">
        <v>7</v>
      </c>
      <c r="J207" s="11" t="s">
        <v>3</v>
      </c>
      <c r="K207" s="11" t="s">
        <v>3</v>
      </c>
      <c r="L207" s="11" t="s">
        <v>70</v>
      </c>
      <c r="M207" s="11"/>
    </row>
    <row r="208" spans="1:13" ht="25.5" x14ac:dyDescent="0.45">
      <c r="A208" s="11" t="s">
        <v>748</v>
      </c>
      <c r="B208" s="11" t="s">
        <v>683</v>
      </c>
      <c r="C208" s="11" t="s">
        <v>744</v>
      </c>
      <c r="D208" s="11" t="s">
        <v>721</v>
      </c>
      <c r="E208" s="11" t="s">
        <v>384</v>
      </c>
      <c r="F208" s="11">
        <v>4</v>
      </c>
      <c r="G208" s="11" t="s">
        <v>740</v>
      </c>
      <c r="H208" s="11" t="s">
        <v>196</v>
      </c>
      <c r="I208" s="11">
        <v>8</v>
      </c>
      <c r="J208" s="11" t="s">
        <v>3</v>
      </c>
      <c r="K208" s="11" t="s">
        <v>3</v>
      </c>
      <c r="L208" s="11" t="s">
        <v>70</v>
      </c>
      <c r="M208" s="11"/>
    </row>
    <row r="209" spans="1:13" ht="25.5" x14ac:dyDescent="0.45">
      <c r="A209" s="11" t="s">
        <v>749</v>
      </c>
      <c r="B209" s="11" t="s">
        <v>685</v>
      </c>
      <c r="C209" s="11" t="s">
        <v>744</v>
      </c>
      <c r="D209" s="11" t="s">
        <v>721</v>
      </c>
      <c r="E209" s="11" t="s">
        <v>384</v>
      </c>
      <c r="F209" s="11">
        <v>4</v>
      </c>
      <c r="G209" s="11" t="s">
        <v>740</v>
      </c>
      <c r="H209" s="11" t="s">
        <v>196</v>
      </c>
      <c r="I209" s="11">
        <v>9</v>
      </c>
      <c r="J209" s="11" t="s">
        <v>3</v>
      </c>
      <c r="K209" s="11" t="s">
        <v>3</v>
      </c>
      <c r="L209" s="11" t="s">
        <v>70</v>
      </c>
      <c r="M209" s="11"/>
    </row>
    <row r="210" spans="1:13" ht="25.5" x14ac:dyDescent="0.45">
      <c r="A210" s="11" t="s">
        <v>750</v>
      </c>
      <c r="B210" s="11" t="s">
        <v>687</v>
      </c>
      <c r="C210" s="11" t="s">
        <v>744</v>
      </c>
      <c r="D210" s="11" t="s">
        <v>721</v>
      </c>
      <c r="E210" s="11" t="s">
        <v>384</v>
      </c>
      <c r="F210" s="11">
        <v>4</v>
      </c>
      <c r="G210" s="11" t="s">
        <v>740</v>
      </c>
      <c r="H210" s="11" t="s">
        <v>196</v>
      </c>
      <c r="I210" s="11">
        <v>10</v>
      </c>
      <c r="J210" s="11" t="s">
        <v>3</v>
      </c>
      <c r="K210" s="11" t="s">
        <v>3</v>
      </c>
      <c r="L210" s="11" t="s">
        <v>70</v>
      </c>
      <c r="M210" s="11"/>
    </row>
    <row r="211" spans="1:13" ht="25.5" x14ac:dyDescent="0.45">
      <c r="A211" s="11" t="s">
        <v>751</v>
      </c>
      <c r="B211" s="11" t="s">
        <v>689</v>
      </c>
      <c r="C211" s="11" t="s">
        <v>744</v>
      </c>
      <c r="D211" s="11" t="s">
        <v>721</v>
      </c>
      <c r="E211" s="11" t="s">
        <v>384</v>
      </c>
      <c r="F211" s="11">
        <v>4</v>
      </c>
      <c r="G211" s="11" t="s">
        <v>740</v>
      </c>
      <c r="H211" s="11" t="s">
        <v>196</v>
      </c>
      <c r="I211" s="11">
        <v>11</v>
      </c>
      <c r="J211" s="11" t="s">
        <v>3</v>
      </c>
      <c r="K211" s="11" t="s">
        <v>3</v>
      </c>
      <c r="L211" s="11" t="s">
        <v>70</v>
      </c>
      <c r="M211" s="11"/>
    </row>
    <row r="212" spans="1:13" ht="25.5" x14ac:dyDescent="0.45">
      <c r="A212" s="11" t="s">
        <v>752</v>
      </c>
      <c r="B212" s="11" t="s">
        <v>691</v>
      </c>
      <c r="C212" s="11" t="s">
        <v>744</v>
      </c>
      <c r="D212" s="11" t="s">
        <v>721</v>
      </c>
      <c r="E212" s="11" t="s">
        <v>384</v>
      </c>
      <c r="F212" s="11">
        <v>4</v>
      </c>
      <c r="G212" s="11" t="s">
        <v>740</v>
      </c>
      <c r="H212" s="11" t="s">
        <v>196</v>
      </c>
      <c r="I212" s="11">
        <v>12</v>
      </c>
      <c r="J212" s="11" t="s">
        <v>3</v>
      </c>
      <c r="K212" s="11" t="s">
        <v>3</v>
      </c>
      <c r="L212" s="11" t="s">
        <v>70</v>
      </c>
      <c r="M212" s="11"/>
    </row>
    <row r="213" spans="1:13" ht="25.5" x14ac:dyDescent="0.45">
      <c r="A213" s="11" t="s">
        <v>753</v>
      </c>
      <c r="B213" s="11" t="s">
        <v>693</v>
      </c>
      <c r="C213" s="11" t="s">
        <v>744</v>
      </c>
      <c r="D213" s="11" t="s">
        <v>721</v>
      </c>
      <c r="E213" s="11" t="s">
        <v>384</v>
      </c>
      <c r="F213" s="11">
        <v>4</v>
      </c>
      <c r="G213" s="11" t="s">
        <v>740</v>
      </c>
      <c r="H213" s="11" t="s">
        <v>196</v>
      </c>
      <c r="I213" s="11">
        <v>13</v>
      </c>
      <c r="J213" s="11" t="s">
        <v>3</v>
      </c>
      <c r="K213" s="11" t="s">
        <v>3</v>
      </c>
      <c r="L213" s="11" t="s">
        <v>70</v>
      </c>
      <c r="M213" s="11"/>
    </row>
    <row r="214" spans="1:13" ht="25.5" x14ac:dyDescent="0.45">
      <c r="A214" s="11" t="s">
        <v>754</v>
      </c>
      <c r="B214" s="11" t="s">
        <v>695</v>
      </c>
      <c r="C214" s="11" t="s">
        <v>744</v>
      </c>
      <c r="D214" s="11" t="s">
        <v>721</v>
      </c>
      <c r="E214" s="11" t="s">
        <v>384</v>
      </c>
      <c r="F214" s="11">
        <v>4</v>
      </c>
      <c r="G214" s="11" t="s">
        <v>740</v>
      </c>
      <c r="H214" s="11" t="s">
        <v>196</v>
      </c>
      <c r="I214" s="11">
        <v>14</v>
      </c>
      <c r="J214" s="11" t="s">
        <v>3</v>
      </c>
      <c r="K214" s="11" t="s">
        <v>3</v>
      </c>
      <c r="L214" s="11" t="s">
        <v>70</v>
      </c>
      <c r="M214" s="11"/>
    </row>
    <row r="215" spans="1:13" ht="25.5" x14ac:dyDescent="0.45">
      <c r="A215" s="11" t="s">
        <v>755</v>
      </c>
      <c r="B215" s="11" t="s">
        <v>697</v>
      </c>
      <c r="C215" s="11" t="s">
        <v>744</v>
      </c>
      <c r="D215" s="11" t="s">
        <v>721</v>
      </c>
      <c r="E215" s="11" t="s">
        <v>384</v>
      </c>
      <c r="F215" s="11">
        <v>4</v>
      </c>
      <c r="G215" s="11" t="s">
        <v>740</v>
      </c>
      <c r="H215" s="11" t="s">
        <v>196</v>
      </c>
      <c r="I215" s="11">
        <v>15</v>
      </c>
      <c r="J215" s="11" t="s">
        <v>3</v>
      </c>
      <c r="K215" s="11" t="s">
        <v>3</v>
      </c>
      <c r="L215" s="11" t="s">
        <v>70</v>
      </c>
      <c r="M215" s="11"/>
    </row>
    <row r="216" spans="1:13" ht="25.5" x14ac:dyDescent="0.45">
      <c r="A216" s="11" t="s">
        <v>756</v>
      </c>
      <c r="B216" s="11" t="s">
        <v>579</v>
      </c>
      <c r="C216" s="11" t="s">
        <v>744</v>
      </c>
      <c r="D216" s="11" t="s">
        <v>721</v>
      </c>
      <c r="E216" s="11" t="s">
        <v>384</v>
      </c>
      <c r="F216" s="11">
        <v>4</v>
      </c>
      <c r="G216" s="11" t="s">
        <v>740</v>
      </c>
      <c r="H216" s="11" t="s">
        <v>196</v>
      </c>
      <c r="I216" s="11">
        <v>16</v>
      </c>
      <c r="J216" s="11" t="s">
        <v>390</v>
      </c>
      <c r="K216" s="11" t="s">
        <v>40</v>
      </c>
      <c r="L216" s="11" t="s">
        <v>70</v>
      </c>
      <c r="M216" s="11"/>
    </row>
    <row r="217" spans="1:13" ht="25.5" x14ac:dyDescent="0.45">
      <c r="A217" s="11" t="s">
        <v>757</v>
      </c>
      <c r="B217" s="11" t="s">
        <v>700</v>
      </c>
      <c r="C217" s="11" t="s">
        <v>744</v>
      </c>
      <c r="D217" s="11" t="s">
        <v>721</v>
      </c>
      <c r="E217" s="11" t="s">
        <v>384</v>
      </c>
      <c r="F217" s="11">
        <v>4</v>
      </c>
      <c r="G217" s="11" t="s">
        <v>758</v>
      </c>
      <c r="H217" s="11" t="s">
        <v>196</v>
      </c>
      <c r="I217" s="11">
        <v>1</v>
      </c>
      <c r="J217" s="11" t="s">
        <v>399</v>
      </c>
      <c r="K217" s="11" t="s">
        <v>38</v>
      </c>
      <c r="L217" s="11" t="s">
        <v>70</v>
      </c>
      <c r="M217" s="11"/>
    </row>
    <row r="218" spans="1:13" ht="25.5" x14ac:dyDescent="0.45">
      <c r="A218" s="11" t="s">
        <v>759</v>
      </c>
      <c r="B218" s="11" t="s">
        <v>703</v>
      </c>
      <c r="C218" s="11" t="s">
        <v>720</v>
      </c>
      <c r="D218" s="11" t="s">
        <v>721</v>
      </c>
      <c r="E218" s="11" t="s">
        <v>471</v>
      </c>
      <c r="F218" s="11">
        <v>4</v>
      </c>
      <c r="G218" s="11" t="s">
        <v>760</v>
      </c>
      <c r="H218" s="11" t="s">
        <v>205</v>
      </c>
      <c r="I218" s="11">
        <v>1</v>
      </c>
      <c r="J218" s="11" t="s">
        <v>473</v>
      </c>
      <c r="K218" s="11" t="s">
        <v>70</v>
      </c>
      <c r="L218" s="11" t="s">
        <v>474</v>
      </c>
      <c r="M218" s="11" t="s">
        <v>475</v>
      </c>
    </row>
    <row r="219" spans="1:13" ht="25.5" x14ac:dyDescent="0.45">
      <c r="A219" s="11" t="s">
        <v>761</v>
      </c>
      <c r="B219" s="11" t="s">
        <v>706</v>
      </c>
      <c r="C219" s="11" t="s">
        <v>720</v>
      </c>
      <c r="D219" s="11" t="s">
        <v>721</v>
      </c>
      <c r="E219" s="11" t="s">
        <v>471</v>
      </c>
      <c r="F219" s="11">
        <v>4</v>
      </c>
      <c r="G219" s="11" t="s">
        <v>760</v>
      </c>
      <c r="H219" s="11" t="s">
        <v>205</v>
      </c>
      <c r="I219" s="11">
        <v>2</v>
      </c>
      <c r="J219" s="11" t="s">
        <v>473</v>
      </c>
      <c r="K219" s="11" t="s">
        <v>70</v>
      </c>
      <c r="L219" s="11" t="s">
        <v>474</v>
      </c>
      <c r="M219" s="11" t="s">
        <v>478</v>
      </c>
    </row>
    <row r="220" spans="1:13" ht="25.5" x14ac:dyDescent="0.45">
      <c r="A220" s="11" t="s">
        <v>762</v>
      </c>
      <c r="B220" s="11" t="s">
        <v>708</v>
      </c>
      <c r="C220" s="11" t="s">
        <v>720</v>
      </c>
      <c r="D220" s="11" t="s">
        <v>721</v>
      </c>
      <c r="E220" s="11" t="s">
        <v>471</v>
      </c>
      <c r="F220" s="11">
        <v>4</v>
      </c>
      <c r="G220" s="11" t="s">
        <v>760</v>
      </c>
      <c r="H220" s="11" t="s">
        <v>205</v>
      </c>
      <c r="I220" s="11">
        <v>3</v>
      </c>
      <c r="J220" s="11" t="s">
        <v>473</v>
      </c>
      <c r="K220" s="11" t="s">
        <v>70</v>
      </c>
      <c r="L220" s="11" t="s">
        <v>474</v>
      </c>
      <c r="M220" s="11" t="s">
        <v>475</v>
      </c>
    </row>
    <row r="221" spans="1:13" ht="25.5" x14ac:dyDescent="0.45">
      <c r="A221" s="11" t="s">
        <v>763</v>
      </c>
      <c r="B221" s="11" t="s">
        <v>710</v>
      </c>
      <c r="C221" s="11" t="s">
        <v>720</v>
      </c>
      <c r="D221" s="11" t="s">
        <v>721</v>
      </c>
      <c r="E221" s="11" t="s">
        <v>471</v>
      </c>
      <c r="F221" s="11">
        <v>4</v>
      </c>
      <c r="G221" s="11" t="s">
        <v>760</v>
      </c>
      <c r="H221" s="11" t="s">
        <v>205</v>
      </c>
      <c r="I221" s="11">
        <v>4</v>
      </c>
      <c r="J221" s="11" t="s">
        <v>473</v>
      </c>
      <c r="K221" s="11" t="s">
        <v>70</v>
      </c>
      <c r="L221" s="11" t="s">
        <v>474</v>
      </c>
      <c r="M221" s="11" t="s">
        <v>478</v>
      </c>
    </row>
    <row r="222" spans="1:13" ht="25.5" x14ac:dyDescent="0.45">
      <c r="A222" s="11" t="s">
        <v>764</v>
      </c>
      <c r="B222" s="11" t="s">
        <v>712</v>
      </c>
      <c r="C222" s="11" t="s">
        <v>720</v>
      </c>
      <c r="D222" s="11" t="s">
        <v>721</v>
      </c>
      <c r="E222" s="11" t="s">
        <v>471</v>
      </c>
      <c r="F222" s="11">
        <v>4</v>
      </c>
      <c r="G222" s="11" t="s">
        <v>760</v>
      </c>
      <c r="H222" s="11" t="s">
        <v>205</v>
      </c>
      <c r="I222" s="11">
        <v>5</v>
      </c>
      <c r="J222" s="11" t="s">
        <v>473</v>
      </c>
      <c r="K222" s="11" t="s">
        <v>70</v>
      </c>
      <c r="L222" s="11" t="s">
        <v>474</v>
      </c>
      <c r="M222" s="11" t="s">
        <v>475</v>
      </c>
    </row>
    <row r="223" spans="1:13" ht="25.5" x14ac:dyDescent="0.45">
      <c r="A223" s="11" t="s">
        <v>765</v>
      </c>
      <c r="B223" s="11" t="s">
        <v>714</v>
      </c>
      <c r="C223" s="11" t="s">
        <v>720</v>
      </c>
      <c r="D223" s="11" t="s">
        <v>721</v>
      </c>
      <c r="E223" s="11" t="s">
        <v>471</v>
      </c>
      <c r="F223" s="11">
        <v>4</v>
      </c>
      <c r="G223" s="11" t="s">
        <v>760</v>
      </c>
      <c r="H223" s="11" t="s">
        <v>205</v>
      </c>
      <c r="I223" s="11">
        <v>6</v>
      </c>
      <c r="J223" s="11" t="s">
        <v>473</v>
      </c>
      <c r="K223" s="11" t="s">
        <v>70</v>
      </c>
      <c r="L223" s="11" t="s">
        <v>474</v>
      </c>
      <c r="M223" s="11" t="s">
        <v>478</v>
      </c>
    </row>
    <row r="224" spans="1:13" ht="25.5" x14ac:dyDescent="0.45">
      <c r="A224" s="11" t="s">
        <v>766</v>
      </c>
      <c r="B224" s="11" t="s">
        <v>716</v>
      </c>
      <c r="C224" s="11" t="s">
        <v>744</v>
      </c>
      <c r="D224" s="11" t="s">
        <v>721</v>
      </c>
      <c r="E224" s="11" t="s">
        <v>471</v>
      </c>
      <c r="F224" s="11">
        <v>4</v>
      </c>
      <c r="G224" s="11" t="s">
        <v>760</v>
      </c>
      <c r="H224" s="11" t="s">
        <v>205</v>
      </c>
      <c r="I224" s="11">
        <v>7</v>
      </c>
      <c r="J224" s="11" t="s">
        <v>473</v>
      </c>
      <c r="K224" s="11" t="s">
        <v>70</v>
      </c>
      <c r="L224" s="11" t="s">
        <v>474</v>
      </c>
      <c r="M224" s="11" t="s">
        <v>475</v>
      </c>
    </row>
    <row r="225" spans="1:13" ht="25.5" x14ac:dyDescent="0.45">
      <c r="A225" s="11" t="s">
        <v>767</v>
      </c>
      <c r="B225" s="11" t="s">
        <v>718</v>
      </c>
      <c r="C225" s="11" t="s">
        <v>744</v>
      </c>
      <c r="D225" s="11" t="s">
        <v>721</v>
      </c>
      <c r="E225" s="11" t="s">
        <v>471</v>
      </c>
      <c r="F225" s="11">
        <v>4</v>
      </c>
      <c r="G225" s="11" t="s">
        <v>760</v>
      </c>
      <c r="H225" s="11" t="s">
        <v>205</v>
      </c>
      <c r="I225" s="11">
        <v>8</v>
      </c>
      <c r="J225" s="11" t="s">
        <v>473</v>
      </c>
      <c r="K225" s="11" t="s">
        <v>70</v>
      </c>
      <c r="L225" s="11" t="s">
        <v>474</v>
      </c>
      <c r="M225" s="11" t="s">
        <v>475</v>
      </c>
    </row>
  </sheetData>
  <autoFilter ref="A1:M225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24" customWidth="1"/>
    <col min="3" max="3" width="11" customWidth="1"/>
    <col min="4" max="4" width="12" customWidth="1"/>
    <col min="5" max="5" width="10" customWidth="1"/>
    <col min="6" max="7" width="8" customWidth="1"/>
    <col min="8" max="8" width="9" customWidth="1"/>
  </cols>
  <sheetData>
    <row r="1" spans="1:8" ht="30" customHeight="1" x14ac:dyDescent="0.45">
      <c r="A1" s="8" t="s">
        <v>374</v>
      </c>
      <c r="B1" s="8" t="s">
        <v>58</v>
      </c>
      <c r="C1" s="8" t="s">
        <v>375</v>
      </c>
      <c r="D1" s="8" t="s">
        <v>376</v>
      </c>
      <c r="E1" s="8" t="s">
        <v>768</v>
      </c>
      <c r="F1" s="8" t="s">
        <v>769</v>
      </c>
      <c r="G1" s="8" t="s">
        <v>770</v>
      </c>
      <c r="H1" s="8" t="s">
        <v>771</v>
      </c>
    </row>
    <row r="2" spans="1:8" x14ac:dyDescent="0.45">
      <c r="A2" s="11">
        <v>1</v>
      </c>
      <c r="B2" s="11" t="s">
        <v>772</v>
      </c>
      <c r="C2" s="11" t="s">
        <v>385</v>
      </c>
      <c r="D2" s="11" t="s">
        <v>196</v>
      </c>
      <c r="E2" s="11">
        <v>16</v>
      </c>
      <c r="F2" s="11">
        <f>COUNTIF('IO List'!$G$2:$G$225,C2)</f>
        <v>16</v>
      </c>
      <c r="G2" s="11">
        <f t="shared" ref="G2:G25" si="0">E2-F2</f>
        <v>0</v>
      </c>
      <c r="H2" s="14">
        <f t="shared" ref="H2:H25" si="1">IF(E2=0,0,G2/E2)</f>
        <v>0</v>
      </c>
    </row>
    <row r="3" spans="1:8" x14ac:dyDescent="0.45">
      <c r="A3" s="11">
        <v>1</v>
      </c>
      <c r="B3" s="11" t="s">
        <v>772</v>
      </c>
      <c r="C3" s="11" t="s">
        <v>415</v>
      </c>
      <c r="D3" s="11" t="s">
        <v>196</v>
      </c>
      <c r="E3" s="11">
        <v>16</v>
      </c>
      <c r="F3" s="11">
        <f>COUNTIF('IO List'!$G$2:$G$225,C3)</f>
        <v>16</v>
      </c>
      <c r="G3" s="11">
        <f t="shared" si="0"/>
        <v>0</v>
      </c>
      <c r="H3" s="14">
        <f t="shared" si="1"/>
        <v>0</v>
      </c>
    </row>
    <row r="4" spans="1:8" x14ac:dyDescent="0.45">
      <c r="A4" s="11">
        <v>1</v>
      </c>
      <c r="B4" s="11" t="s">
        <v>772</v>
      </c>
      <c r="C4" s="11" t="s">
        <v>434</v>
      </c>
      <c r="D4" s="11" t="s">
        <v>196</v>
      </c>
      <c r="E4" s="11">
        <v>16</v>
      </c>
      <c r="F4" s="11">
        <f>COUNTIF('IO List'!$G$2:$G$225,C4)</f>
        <v>16</v>
      </c>
      <c r="G4" s="11">
        <f t="shared" si="0"/>
        <v>0</v>
      </c>
      <c r="H4" s="14">
        <f t="shared" si="1"/>
        <v>0</v>
      </c>
    </row>
    <row r="5" spans="1:8" x14ac:dyDescent="0.45">
      <c r="A5" s="11">
        <v>1</v>
      </c>
      <c r="B5" s="11" t="s">
        <v>772</v>
      </c>
      <c r="C5" s="11" t="s">
        <v>453</v>
      </c>
      <c r="D5" s="11" t="s">
        <v>196</v>
      </c>
      <c r="E5" s="11">
        <v>16</v>
      </c>
      <c r="F5" s="11">
        <f>COUNTIF('IO List'!$G$2:$G$225,C5)</f>
        <v>16</v>
      </c>
      <c r="G5" s="11">
        <f t="shared" si="0"/>
        <v>0</v>
      </c>
      <c r="H5" s="14">
        <f t="shared" si="1"/>
        <v>0</v>
      </c>
    </row>
    <row r="6" spans="1:8" x14ac:dyDescent="0.45">
      <c r="A6" s="11">
        <v>1</v>
      </c>
      <c r="B6" s="11" t="s">
        <v>772</v>
      </c>
      <c r="C6" s="11" t="s">
        <v>497</v>
      </c>
      <c r="D6" s="11" t="s">
        <v>196</v>
      </c>
      <c r="E6" s="11">
        <v>16</v>
      </c>
      <c r="F6" s="11">
        <f>COUNTIF('IO List'!$G$2:$G$225,C6)</f>
        <v>2</v>
      </c>
      <c r="G6" s="11">
        <f t="shared" si="0"/>
        <v>14</v>
      </c>
      <c r="H6" s="14">
        <f t="shared" si="1"/>
        <v>0.875</v>
      </c>
    </row>
    <row r="7" spans="1:8" x14ac:dyDescent="0.45">
      <c r="A7" s="11">
        <v>1</v>
      </c>
      <c r="B7" s="11" t="s">
        <v>772</v>
      </c>
      <c r="C7" s="11" t="s">
        <v>472</v>
      </c>
      <c r="D7" s="11" t="s">
        <v>205</v>
      </c>
      <c r="E7" s="11">
        <v>12</v>
      </c>
      <c r="F7" s="11">
        <f>COUNTIF('IO List'!$G$2:$G$225,C7)</f>
        <v>12</v>
      </c>
      <c r="G7" s="11">
        <f t="shared" si="0"/>
        <v>0</v>
      </c>
      <c r="H7" s="14">
        <f t="shared" si="1"/>
        <v>0</v>
      </c>
    </row>
    <row r="8" spans="1:8" x14ac:dyDescent="0.45">
      <c r="A8" s="11">
        <v>1</v>
      </c>
      <c r="B8" s="11" t="s">
        <v>772</v>
      </c>
      <c r="C8" s="11" t="s">
        <v>490</v>
      </c>
      <c r="D8" s="11" t="s">
        <v>205</v>
      </c>
      <c r="E8" s="11">
        <v>12</v>
      </c>
      <c r="F8" s="11">
        <f>COUNTIF('IO List'!$G$2:$G$225,C8)</f>
        <v>2</v>
      </c>
      <c r="G8" s="11">
        <f t="shared" si="0"/>
        <v>10</v>
      </c>
      <c r="H8" s="14">
        <f t="shared" si="1"/>
        <v>0.83333333333333337</v>
      </c>
    </row>
    <row r="9" spans="1:8" x14ac:dyDescent="0.45">
      <c r="A9" s="11">
        <v>1</v>
      </c>
      <c r="B9" s="11" t="s">
        <v>772</v>
      </c>
      <c r="C9" s="11" t="s">
        <v>503</v>
      </c>
      <c r="D9" s="11" t="s">
        <v>211</v>
      </c>
      <c r="E9" s="11">
        <v>8</v>
      </c>
      <c r="F9" s="11">
        <f>COUNTIF('IO List'!$G$2:$G$225,C9)</f>
        <v>2</v>
      </c>
      <c r="G9" s="11">
        <f t="shared" si="0"/>
        <v>6</v>
      </c>
      <c r="H9" s="14">
        <f t="shared" si="1"/>
        <v>0.75</v>
      </c>
    </row>
    <row r="10" spans="1:8" x14ac:dyDescent="0.45">
      <c r="A10" s="11">
        <v>2</v>
      </c>
      <c r="B10" s="11" t="s">
        <v>773</v>
      </c>
      <c r="C10" s="11" t="s">
        <v>513</v>
      </c>
      <c r="D10" s="11" t="s">
        <v>196</v>
      </c>
      <c r="E10" s="11">
        <v>16</v>
      </c>
      <c r="F10" s="11">
        <f>COUNTIF('IO List'!$G$2:$G$225,C10)</f>
        <v>16</v>
      </c>
      <c r="G10" s="11">
        <f t="shared" si="0"/>
        <v>0</v>
      </c>
      <c r="H10" s="14">
        <f t="shared" si="1"/>
        <v>0</v>
      </c>
    </row>
    <row r="11" spans="1:8" x14ac:dyDescent="0.45">
      <c r="A11" s="11">
        <v>2</v>
      </c>
      <c r="B11" s="11" t="s">
        <v>773</v>
      </c>
      <c r="C11" s="11" t="s">
        <v>596</v>
      </c>
      <c r="D11" s="11" t="s">
        <v>196</v>
      </c>
      <c r="E11" s="11">
        <v>16</v>
      </c>
      <c r="F11" s="11">
        <f>COUNTIF('IO List'!$G$2:$G$225,C11)</f>
        <v>6</v>
      </c>
      <c r="G11" s="11">
        <f t="shared" si="0"/>
        <v>10</v>
      </c>
      <c r="H11" s="14">
        <f t="shared" si="1"/>
        <v>0.625</v>
      </c>
    </row>
    <row r="12" spans="1:8" x14ac:dyDescent="0.45">
      <c r="A12" s="11">
        <v>2</v>
      </c>
      <c r="B12" s="11" t="s">
        <v>773</v>
      </c>
      <c r="C12" s="11" t="s">
        <v>630</v>
      </c>
      <c r="D12" s="11" t="s">
        <v>216</v>
      </c>
      <c r="E12" s="11">
        <v>4</v>
      </c>
      <c r="F12" s="11">
        <f>COUNTIF('IO List'!$G$2:$G$225,C12)</f>
        <v>2</v>
      </c>
      <c r="G12" s="11">
        <f t="shared" si="0"/>
        <v>2</v>
      </c>
      <c r="H12" s="14">
        <f t="shared" si="1"/>
        <v>0.5</v>
      </c>
    </row>
    <row r="13" spans="1:8" x14ac:dyDescent="0.45">
      <c r="A13" s="11">
        <v>3</v>
      </c>
      <c r="B13" s="11" t="s">
        <v>774</v>
      </c>
      <c r="C13" s="11" t="s">
        <v>640</v>
      </c>
      <c r="D13" s="11" t="s">
        <v>196</v>
      </c>
      <c r="E13" s="11">
        <v>16</v>
      </c>
      <c r="F13" s="11">
        <f>COUNTIF('IO List'!$G$2:$G$225,C13)</f>
        <v>16</v>
      </c>
      <c r="G13" s="11">
        <f t="shared" si="0"/>
        <v>0</v>
      </c>
      <c r="H13" s="14">
        <f t="shared" si="1"/>
        <v>0</v>
      </c>
    </row>
    <row r="14" spans="1:8" x14ac:dyDescent="0.45">
      <c r="A14" s="11">
        <v>3</v>
      </c>
      <c r="B14" s="11" t="s">
        <v>774</v>
      </c>
      <c r="C14" s="11" t="s">
        <v>670</v>
      </c>
      <c r="D14" s="11" t="s">
        <v>196</v>
      </c>
      <c r="E14" s="11">
        <v>16</v>
      </c>
      <c r="F14" s="11">
        <f>COUNTIF('IO List'!$G$2:$G$225,C14)</f>
        <v>16</v>
      </c>
      <c r="G14" s="11">
        <f t="shared" si="0"/>
        <v>0</v>
      </c>
      <c r="H14" s="14">
        <f t="shared" si="1"/>
        <v>0</v>
      </c>
    </row>
    <row r="15" spans="1:8" x14ac:dyDescent="0.45">
      <c r="A15" s="11">
        <v>3</v>
      </c>
      <c r="B15" s="11" t="s">
        <v>774</v>
      </c>
      <c r="C15" s="11" t="s">
        <v>701</v>
      </c>
      <c r="D15" s="11" t="s">
        <v>196</v>
      </c>
      <c r="E15" s="11">
        <v>16</v>
      </c>
      <c r="F15" s="11">
        <f>COUNTIF('IO List'!$G$2:$G$225,C15)</f>
        <v>1</v>
      </c>
      <c r="G15" s="11">
        <f t="shared" si="0"/>
        <v>15</v>
      </c>
      <c r="H15" s="14">
        <f t="shared" si="1"/>
        <v>0.9375</v>
      </c>
    </row>
    <row r="16" spans="1:8" x14ac:dyDescent="0.45">
      <c r="A16" s="11">
        <v>3</v>
      </c>
      <c r="B16" s="11" t="s">
        <v>774</v>
      </c>
      <c r="C16" s="11" t="s">
        <v>704</v>
      </c>
      <c r="D16" s="11" t="s">
        <v>205</v>
      </c>
      <c r="E16" s="11">
        <v>12</v>
      </c>
      <c r="F16" s="11">
        <f>COUNTIF('IO List'!$G$2:$G$225,C16)</f>
        <v>8</v>
      </c>
      <c r="G16" s="11">
        <f t="shared" si="0"/>
        <v>4</v>
      </c>
      <c r="H16" s="14">
        <f t="shared" si="1"/>
        <v>0.33333333333333331</v>
      </c>
    </row>
    <row r="17" spans="1:8" ht="25.5" x14ac:dyDescent="0.45">
      <c r="A17" s="11">
        <v>4</v>
      </c>
      <c r="B17" s="11" t="s">
        <v>775</v>
      </c>
      <c r="C17" s="11" t="s">
        <v>722</v>
      </c>
      <c r="D17" s="11" t="s">
        <v>196</v>
      </c>
      <c r="E17" s="11">
        <v>16</v>
      </c>
      <c r="F17" s="11">
        <f>COUNTIF('IO List'!$G$2:$G$225,C17)</f>
        <v>16</v>
      </c>
      <c r="G17" s="11">
        <f t="shared" si="0"/>
        <v>0</v>
      </c>
      <c r="H17" s="14">
        <f t="shared" si="1"/>
        <v>0</v>
      </c>
    </row>
    <row r="18" spans="1:8" ht="25.5" x14ac:dyDescent="0.45">
      <c r="A18" s="11">
        <v>4</v>
      </c>
      <c r="B18" s="11" t="s">
        <v>775</v>
      </c>
      <c r="C18" s="11" t="s">
        <v>740</v>
      </c>
      <c r="D18" s="11" t="s">
        <v>196</v>
      </c>
      <c r="E18" s="11">
        <v>16</v>
      </c>
      <c r="F18" s="11">
        <f>COUNTIF('IO List'!$G$2:$G$225,C18)</f>
        <v>16</v>
      </c>
      <c r="G18" s="11">
        <f t="shared" si="0"/>
        <v>0</v>
      </c>
      <c r="H18" s="14">
        <f t="shared" si="1"/>
        <v>0</v>
      </c>
    </row>
    <row r="19" spans="1:8" ht="25.5" x14ac:dyDescent="0.45">
      <c r="A19" s="11">
        <v>4</v>
      </c>
      <c r="B19" s="11" t="s">
        <v>775</v>
      </c>
      <c r="C19" s="11" t="s">
        <v>758</v>
      </c>
      <c r="D19" s="11" t="s">
        <v>196</v>
      </c>
      <c r="E19" s="11">
        <v>16</v>
      </c>
      <c r="F19" s="11">
        <f>COUNTIF('IO List'!$G$2:$G$225,C19)</f>
        <v>1</v>
      </c>
      <c r="G19" s="11">
        <f t="shared" si="0"/>
        <v>15</v>
      </c>
      <c r="H19" s="14">
        <f t="shared" si="1"/>
        <v>0.9375</v>
      </c>
    </row>
    <row r="20" spans="1:8" ht="25.5" x14ac:dyDescent="0.45">
      <c r="A20" s="11">
        <v>4</v>
      </c>
      <c r="B20" s="11" t="s">
        <v>775</v>
      </c>
      <c r="C20" s="11" t="s">
        <v>760</v>
      </c>
      <c r="D20" s="11" t="s">
        <v>205</v>
      </c>
      <c r="E20" s="11">
        <v>12</v>
      </c>
      <c r="F20" s="11">
        <f>COUNTIF('IO List'!$G$2:$G$225,C20)</f>
        <v>8</v>
      </c>
      <c r="G20" s="11">
        <f t="shared" si="0"/>
        <v>4</v>
      </c>
      <c r="H20" s="14">
        <f t="shared" si="1"/>
        <v>0.33333333333333331</v>
      </c>
    </row>
    <row r="21" spans="1:8" ht="25.5" x14ac:dyDescent="0.45">
      <c r="A21" s="11">
        <v>5</v>
      </c>
      <c r="B21" s="11" t="s">
        <v>776</v>
      </c>
      <c r="C21" s="11" t="s">
        <v>527</v>
      </c>
      <c r="D21" s="11" t="s">
        <v>196</v>
      </c>
      <c r="E21" s="11">
        <v>16</v>
      </c>
      <c r="F21" s="11">
        <f>COUNTIF('IO List'!$G$2:$G$225,C21)</f>
        <v>16</v>
      </c>
      <c r="G21" s="11">
        <f t="shared" si="0"/>
        <v>0</v>
      </c>
      <c r="H21" s="14">
        <f t="shared" si="1"/>
        <v>0</v>
      </c>
    </row>
    <row r="22" spans="1:8" ht="25.5" x14ac:dyDescent="0.45">
      <c r="A22" s="11">
        <v>5</v>
      </c>
      <c r="B22" s="11" t="s">
        <v>776</v>
      </c>
      <c r="C22" s="11" t="s">
        <v>614</v>
      </c>
      <c r="D22" s="11" t="s">
        <v>196</v>
      </c>
      <c r="E22" s="11">
        <v>16</v>
      </c>
      <c r="F22" s="11">
        <f>COUNTIF('IO List'!$G$2:$G$225,C22)</f>
        <v>2</v>
      </c>
      <c r="G22" s="11">
        <f t="shared" si="0"/>
        <v>14</v>
      </c>
      <c r="H22" s="14">
        <f t="shared" si="1"/>
        <v>0.875</v>
      </c>
    </row>
    <row r="23" spans="1:8" x14ac:dyDescent="0.45">
      <c r="A23" s="11">
        <v>6</v>
      </c>
      <c r="B23" s="11" t="s">
        <v>777</v>
      </c>
      <c r="C23" s="11" t="s">
        <v>535</v>
      </c>
      <c r="D23" s="11" t="s">
        <v>196</v>
      </c>
      <c r="E23" s="11">
        <v>16</v>
      </c>
      <c r="F23" s="11">
        <f>COUNTIF('IO List'!$G$2:$G$225,C23)</f>
        <v>16</v>
      </c>
      <c r="G23" s="11">
        <f t="shared" si="0"/>
        <v>0</v>
      </c>
      <c r="H23" s="14">
        <f t="shared" si="1"/>
        <v>0</v>
      </c>
    </row>
    <row r="24" spans="1:8" x14ac:dyDescent="0.45">
      <c r="A24" s="11">
        <v>6</v>
      </c>
      <c r="B24" s="11" t="s">
        <v>777</v>
      </c>
      <c r="C24" s="11" t="s">
        <v>778</v>
      </c>
      <c r="D24" s="11" t="s">
        <v>196</v>
      </c>
      <c r="E24" s="11">
        <v>16</v>
      </c>
      <c r="F24" s="11">
        <f>COUNTIF('IO List'!$G$2:$G$225,C24)</f>
        <v>0</v>
      </c>
      <c r="G24" s="11">
        <f t="shared" si="0"/>
        <v>16</v>
      </c>
      <c r="H24" s="14">
        <f t="shared" si="1"/>
        <v>1</v>
      </c>
    </row>
    <row r="25" spans="1:8" x14ac:dyDescent="0.45">
      <c r="A25" s="11">
        <v>6</v>
      </c>
      <c r="B25" s="11" t="s">
        <v>777</v>
      </c>
      <c r="C25" s="11" t="s">
        <v>624</v>
      </c>
      <c r="D25" s="11" t="s">
        <v>216</v>
      </c>
      <c r="E25" s="11">
        <v>4</v>
      </c>
      <c r="F25" s="11">
        <f>COUNTIF('IO List'!$G$2:$G$225,C25)</f>
        <v>2</v>
      </c>
      <c r="G25" s="11">
        <f t="shared" si="0"/>
        <v>2</v>
      </c>
      <c r="H25" s="14">
        <f t="shared" si="1"/>
        <v>0.5</v>
      </c>
    </row>
    <row r="27" spans="1:8" x14ac:dyDescent="0.45">
      <c r="A27" s="2" t="s">
        <v>779</v>
      </c>
    </row>
    <row r="28" spans="1:8" ht="30" customHeight="1" x14ac:dyDescent="0.45">
      <c r="A28" s="8" t="s">
        <v>376</v>
      </c>
      <c r="B28" s="8" t="s">
        <v>371</v>
      </c>
      <c r="C28" s="8" t="s">
        <v>780</v>
      </c>
      <c r="D28" s="8" t="s">
        <v>768</v>
      </c>
      <c r="E28" s="8" t="s">
        <v>769</v>
      </c>
      <c r="F28" s="8" t="s">
        <v>770</v>
      </c>
      <c r="G28" s="8" t="s">
        <v>771</v>
      </c>
      <c r="H28" s="8"/>
    </row>
    <row r="29" spans="1:8" x14ac:dyDescent="0.45">
      <c r="A29" s="11" t="s">
        <v>196</v>
      </c>
      <c r="B29" s="11" t="s">
        <v>781</v>
      </c>
      <c r="C29" s="11">
        <f>COUNTIF($D$2:$D$25,A29)</f>
        <v>17</v>
      </c>
      <c r="D29" s="11">
        <f>SUMIF($D$2:$D$25,A29,$E$2:$E$25)</f>
        <v>272</v>
      </c>
      <c r="E29" s="11">
        <f>SUMIF($D$2:$D$25,A29,$F$2:$F$25)</f>
        <v>188</v>
      </c>
      <c r="F29" s="11">
        <f>D29-E29</f>
        <v>84</v>
      </c>
      <c r="G29" s="14">
        <f>IF(D29=0,0,F29/D29)</f>
        <v>0.30882352941176472</v>
      </c>
    </row>
    <row r="30" spans="1:8" ht="25.5" x14ac:dyDescent="0.45">
      <c r="A30" s="11" t="s">
        <v>205</v>
      </c>
      <c r="B30" s="11" t="s">
        <v>782</v>
      </c>
      <c r="C30" s="11">
        <f>COUNTIF($D$2:$D$25,A30)</f>
        <v>4</v>
      </c>
      <c r="D30" s="11">
        <f>SUMIF($D$2:$D$25,A30,$E$2:$E$25)</f>
        <v>48</v>
      </c>
      <c r="E30" s="11">
        <f>SUMIF($D$2:$D$25,A30,$F$2:$F$25)</f>
        <v>30</v>
      </c>
      <c r="F30" s="11">
        <f>D30-E30</f>
        <v>18</v>
      </c>
      <c r="G30" s="14">
        <f>IF(D30=0,0,F30/D30)</f>
        <v>0.375</v>
      </c>
    </row>
    <row r="31" spans="1:8" ht="25.5" x14ac:dyDescent="0.45">
      <c r="A31" s="11" t="s">
        <v>211</v>
      </c>
      <c r="B31" s="11" t="s">
        <v>783</v>
      </c>
      <c r="C31" s="11">
        <f>COUNTIF($D$2:$D$25,A31)</f>
        <v>1</v>
      </c>
      <c r="D31" s="11">
        <f>SUMIF($D$2:$D$25,A31,$E$2:$E$25)</f>
        <v>8</v>
      </c>
      <c r="E31" s="11">
        <f>SUMIF($D$2:$D$25,A31,$F$2:$F$25)</f>
        <v>2</v>
      </c>
      <c r="F31" s="11">
        <f>D31-E31</f>
        <v>6</v>
      </c>
      <c r="G31" s="14">
        <f>IF(D31=0,0,F31/D31)</f>
        <v>0.75</v>
      </c>
    </row>
    <row r="32" spans="1:8" x14ac:dyDescent="0.45">
      <c r="A32" s="11" t="s">
        <v>216</v>
      </c>
      <c r="B32" s="11" t="s">
        <v>784</v>
      </c>
      <c r="C32" s="11">
        <f>COUNTIF($D$2:$D$25,A32)</f>
        <v>2</v>
      </c>
      <c r="D32" s="11">
        <f>SUMIF($D$2:$D$25,A32,$E$2:$E$25)</f>
        <v>8</v>
      </c>
      <c r="E32" s="11">
        <f>SUMIF($D$2:$D$25,A32,$F$2:$F$25)</f>
        <v>4</v>
      </c>
      <c r="F32" s="11">
        <f>D32-E32</f>
        <v>4</v>
      </c>
      <c r="G32" s="14">
        <f>IF(D32=0,0,F32/D32)</f>
        <v>0.5</v>
      </c>
    </row>
    <row r="33" spans="1:8" x14ac:dyDescent="0.45">
      <c r="A33" s="15" t="s">
        <v>785</v>
      </c>
      <c r="B33" s="15"/>
      <c r="C33" s="15">
        <f>SUM(C29:C32)</f>
        <v>24</v>
      </c>
      <c r="D33" s="15">
        <f>SUM(D29:D32)</f>
        <v>336</v>
      </c>
      <c r="E33" s="15">
        <f>SUM(E29:E32)</f>
        <v>224</v>
      </c>
      <c r="F33" s="15">
        <f>SUM(F29:F32)</f>
        <v>112</v>
      </c>
      <c r="G33" s="16">
        <f>IF(D33=0,0,F33/D33)</f>
        <v>0.33333333333333331</v>
      </c>
    </row>
    <row r="35" spans="1:8" x14ac:dyDescent="0.45">
      <c r="A35" s="2" t="s">
        <v>786</v>
      </c>
    </row>
    <row r="36" spans="1:8" ht="30" customHeight="1" x14ac:dyDescent="0.45">
      <c r="A36" s="8" t="s">
        <v>373</v>
      </c>
      <c r="B36" s="8" t="s">
        <v>787</v>
      </c>
      <c r="C36" s="8" t="s">
        <v>788</v>
      </c>
      <c r="D36" s="8"/>
      <c r="E36" s="8"/>
      <c r="F36" s="8"/>
      <c r="G36" s="8"/>
      <c r="H36" s="8"/>
    </row>
    <row r="37" spans="1:8" x14ac:dyDescent="0.45">
      <c r="A37" s="11" t="s">
        <v>384</v>
      </c>
      <c r="B37" s="11" t="s">
        <v>789</v>
      </c>
      <c r="C37" s="11">
        <f>COUNTIF('IO List'!$E$2:$E$225,A37)</f>
        <v>188</v>
      </c>
    </row>
    <row r="38" spans="1:8" x14ac:dyDescent="0.45">
      <c r="A38" s="11" t="s">
        <v>471</v>
      </c>
      <c r="B38" s="11" t="s">
        <v>790</v>
      </c>
      <c r="C38" s="11">
        <f>COUNTIF('IO List'!$E$2:$E$225,A38)</f>
        <v>32</v>
      </c>
    </row>
    <row r="39" spans="1:8" x14ac:dyDescent="0.45">
      <c r="A39" s="11" t="s">
        <v>623</v>
      </c>
      <c r="B39" s="11" t="s">
        <v>791</v>
      </c>
      <c r="C39" s="11">
        <f>COUNTIF('IO List'!$E$2:$E$225,A39)</f>
        <v>4</v>
      </c>
    </row>
    <row r="40" spans="1:8" x14ac:dyDescent="0.45">
      <c r="A40" s="15" t="s">
        <v>785</v>
      </c>
      <c r="B40" s="15"/>
      <c r="C40" s="15">
        <f>SUM(C37:C39)</f>
        <v>224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8" customWidth="1"/>
    <col min="2" max="2" width="28" customWidth="1"/>
    <col min="3" max="4" width="18" customWidth="1"/>
    <col min="5" max="5" width="30" customWidth="1"/>
    <col min="6" max="6" width="52" customWidth="1"/>
    <col min="7" max="9" width="11" customWidth="1"/>
  </cols>
  <sheetData>
    <row r="1" spans="1:9" ht="30" customHeight="1" x14ac:dyDescent="0.45">
      <c r="A1" s="8" t="s">
        <v>374</v>
      </c>
      <c r="B1" s="8" t="s">
        <v>58</v>
      </c>
      <c r="C1" s="8" t="s">
        <v>792</v>
      </c>
      <c r="D1" s="8" t="s">
        <v>793</v>
      </c>
      <c r="E1" s="8" t="s">
        <v>794</v>
      </c>
      <c r="F1" s="8" t="s">
        <v>795</v>
      </c>
      <c r="G1" s="8" t="s">
        <v>796</v>
      </c>
      <c r="H1" s="8" t="s">
        <v>797</v>
      </c>
      <c r="I1" s="8" t="s">
        <v>798</v>
      </c>
    </row>
    <row r="2" spans="1:9" ht="25.5" x14ac:dyDescent="0.45">
      <c r="A2" s="11">
        <v>1</v>
      </c>
      <c r="B2" s="11" t="s">
        <v>799</v>
      </c>
      <c r="C2" s="11" t="s">
        <v>800</v>
      </c>
      <c r="D2" s="11" t="s">
        <v>70</v>
      </c>
      <c r="E2" s="11" t="s">
        <v>801</v>
      </c>
      <c r="F2" s="11" t="s">
        <v>802</v>
      </c>
      <c r="G2" s="11">
        <f>COUNTIF('IO Summary'!$A$2:$A$25,A2)</f>
        <v>8</v>
      </c>
      <c r="H2" s="11">
        <f>COUNTIF('IO List'!$F$2:$F$225,A2)</f>
        <v>82</v>
      </c>
      <c r="I2" s="11">
        <f>SUMIF('IO Summary'!$A$2:$A$25,A2,'IO Summary'!$G$2:$G$25)</f>
        <v>30</v>
      </c>
    </row>
    <row r="3" spans="1:9" ht="25.5" x14ac:dyDescent="0.45">
      <c r="A3" s="11">
        <v>2</v>
      </c>
      <c r="B3" s="11" t="s">
        <v>803</v>
      </c>
      <c r="C3" s="11" t="s">
        <v>804</v>
      </c>
      <c r="D3" s="11" t="s">
        <v>223</v>
      </c>
      <c r="E3" s="11" t="s">
        <v>805</v>
      </c>
      <c r="F3" s="11" t="s">
        <v>806</v>
      </c>
      <c r="G3" s="11">
        <f>COUNTIF('IO Summary'!$A$2:$A$25,A3)</f>
        <v>3</v>
      </c>
      <c r="H3" s="11">
        <f>COUNTIF('IO List'!$F$2:$F$225,A3)</f>
        <v>24</v>
      </c>
      <c r="I3" s="11">
        <f>SUMIF('IO Summary'!$A$2:$A$25,A3,'IO Summary'!$G$2:$G$25)</f>
        <v>12</v>
      </c>
    </row>
    <row r="4" spans="1:9" ht="25.5" x14ac:dyDescent="0.45">
      <c r="A4" s="11">
        <v>3</v>
      </c>
      <c r="B4" s="11" t="s">
        <v>807</v>
      </c>
      <c r="C4" s="11" t="s">
        <v>808</v>
      </c>
      <c r="D4" s="12" t="s">
        <v>206</v>
      </c>
      <c r="E4" s="11" t="s">
        <v>809</v>
      </c>
      <c r="F4" s="11" t="s">
        <v>810</v>
      </c>
      <c r="G4" s="11">
        <f>COUNTIF('IO Summary'!$A$2:$A$25,A4)</f>
        <v>4</v>
      </c>
      <c r="H4" s="11">
        <f>COUNTIF('IO List'!$F$2:$F$225,A4)</f>
        <v>41</v>
      </c>
      <c r="I4" s="11">
        <f>SUMIF('IO Summary'!$A$2:$A$25,A4,'IO Summary'!$G$2:$G$25)</f>
        <v>19</v>
      </c>
    </row>
    <row r="5" spans="1:9" ht="25.5" x14ac:dyDescent="0.45">
      <c r="A5" s="11">
        <v>4</v>
      </c>
      <c r="B5" s="11" t="s">
        <v>811</v>
      </c>
      <c r="C5" s="11" t="s">
        <v>808</v>
      </c>
      <c r="D5" s="12" t="s">
        <v>206</v>
      </c>
      <c r="E5" s="11" t="s">
        <v>809</v>
      </c>
      <c r="F5" s="11" t="s">
        <v>810</v>
      </c>
      <c r="G5" s="11">
        <f>COUNTIF('IO Summary'!$A$2:$A$25,A5)</f>
        <v>4</v>
      </c>
      <c r="H5" s="11">
        <f>COUNTIF('IO List'!$F$2:$F$225,A5)</f>
        <v>41</v>
      </c>
      <c r="I5" s="11">
        <f>SUMIF('IO Summary'!$A$2:$A$25,A5,'IO Summary'!$G$2:$G$25)</f>
        <v>19</v>
      </c>
    </row>
    <row r="6" spans="1:9" ht="25.5" x14ac:dyDescent="0.45">
      <c r="A6" s="11">
        <v>5</v>
      </c>
      <c r="B6" s="11" t="s">
        <v>526</v>
      </c>
      <c r="C6" s="11" t="s">
        <v>808</v>
      </c>
      <c r="D6" s="12" t="s">
        <v>206</v>
      </c>
      <c r="E6" s="11" t="s">
        <v>812</v>
      </c>
      <c r="F6" s="11" t="s">
        <v>813</v>
      </c>
      <c r="G6" s="11">
        <f>COUNTIF('IO Summary'!$A$2:$A$25,A6)</f>
        <v>2</v>
      </c>
      <c r="H6" s="11">
        <f>COUNTIF('IO List'!$F$2:$F$225,A6)</f>
        <v>18</v>
      </c>
      <c r="I6" s="11">
        <f>SUMIF('IO Summary'!$A$2:$A$25,A6,'IO Summary'!$G$2:$G$25)</f>
        <v>14</v>
      </c>
    </row>
    <row r="7" spans="1:9" ht="25.5" x14ac:dyDescent="0.45">
      <c r="A7" s="11">
        <v>6</v>
      </c>
      <c r="B7" s="11" t="s">
        <v>96</v>
      </c>
      <c r="C7" s="11" t="s">
        <v>808</v>
      </c>
      <c r="D7" s="12" t="s">
        <v>206</v>
      </c>
      <c r="E7" s="11" t="s">
        <v>814</v>
      </c>
      <c r="F7" s="11" t="s">
        <v>815</v>
      </c>
      <c r="G7" s="11">
        <f>COUNTIF('IO Summary'!$A$2:$A$25,A7)</f>
        <v>3</v>
      </c>
      <c r="H7" s="11">
        <f>COUNTIF('IO List'!$F$2:$F$225,A7)</f>
        <v>18</v>
      </c>
      <c r="I7" s="11">
        <f>SUMIF('IO Summary'!$A$2:$A$25,A7,'IO Summary'!$G$2:$G$25)</f>
        <v>18</v>
      </c>
    </row>
    <row r="8" spans="1:9" x14ac:dyDescent="0.45">
      <c r="A8" s="15" t="s">
        <v>785</v>
      </c>
      <c r="B8" s="15"/>
      <c r="C8" s="15"/>
      <c r="D8" s="15"/>
      <c r="E8" s="15"/>
      <c r="F8" s="15"/>
      <c r="G8" s="15">
        <f>SUM(G2:G7)</f>
        <v>24</v>
      </c>
      <c r="H8" s="15">
        <f>SUM(H2:H7)</f>
        <v>224</v>
      </c>
      <c r="I8" s="15">
        <f>SUM(I2:I7)</f>
        <v>112</v>
      </c>
    </row>
    <row r="10" spans="1:9" x14ac:dyDescent="0.45">
      <c r="A10" s="13" t="s">
        <v>816</v>
      </c>
    </row>
    <row r="11" spans="1:9" x14ac:dyDescent="0.45">
      <c r="A11" s="13" t="s">
        <v>817</v>
      </c>
    </row>
    <row r="12" spans="1:9" x14ac:dyDescent="0.45">
      <c r="A12" s="13" t="s">
        <v>818</v>
      </c>
    </row>
    <row r="13" spans="1:9" x14ac:dyDescent="0.45">
      <c r="A13" s="13" t="s">
        <v>819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52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30" customWidth="1"/>
    <col min="2" max="2" width="26" customWidth="1"/>
    <col min="3" max="3" width="34" customWidth="1"/>
    <col min="4" max="4" width="10" customWidth="1"/>
    <col min="5" max="5" width="12" customWidth="1"/>
    <col min="6" max="8" width="8" customWidth="1"/>
    <col min="9" max="9" width="10" customWidth="1"/>
    <col min="10" max="10" width="11" customWidth="1"/>
    <col min="11" max="11" width="34" customWidth="1"/>
  </cols>
  <sheetData>
    <row r="1" spans="1:11" ht="30" customHeight="1" x14ac:dyDescent="0.45">
      <c r="A1" s="8" t="s">
        <v>52</v>
      </c>
      <c r="B1" s="8" t="s">
        <v>820</v>
      </c>
      <c r="C1" s="8" t="s">
        <v>821</v>
      </c>
      <c r="D1" s="8" t="s">
        <v>822</v>
      </c>
      <c r="E1" s="8" t="s">
        <v>823</v>
      </c>
      <c r="F1" s="8" t="s">
        <v>824</v>
      </c>
      <c r="G1" s="8" t="s">
        <v>825</v>
      </c>
      <c r="H1" s="8" t="s">
        <v>826</v>
      </c>
      <c r="I1" s="8" t="s">
        <v>827</v>
      </c>
      <c r="J1" s="8" t="s">
        <v>380</v>
      </c>
      <c r="K1" s="8" t="s">
        <v>63</v>
      </c>
    </row>
    <row r="2" spans="1:11" x14ac:dyDescent="0.45">
      <c r="A2" s="11" t="s">
        <v>828</v>
      </c>
      <c r="B2" s="11" t="s">
        <v>829</v>
      </c>
      <c r="C2" s="11" t="s">
        <v>830</v>
      </c>
      <c r="D2" s="11" t="s">
        <v>831</v>
      </c>
      <c r="E2" s="11" t="s">
        <v>832</v>
      </c>
      <c r="F2" s="11" t="s">
        <v>833</v>
      </c>
      <c r="G2" s="11">
        <v>4</v>
      </c>
      <c r="H2" s="11">
        <v>1</v>
      </c>
      <c r="I2" s="11">
        <f t="shared" ref="I2:I33" si="0">G2*H2</f>
        <v>4</v>
      </c>
      <c r="J2" s="11" t="s">
        <v>70</v>
      </c>
      <c r="K2" s="11"/>
    </row>
    <row r="3" spans="1:11" x14ac:dyDescent="0.45">
      <c r="A3" s="11" t="s">
        <v>828</v>
      </c>
      <c r="B3" s="11" t="s">
        <v>829</v>
      </c>
      <c r="C3" s="11" t="s">
        <v>834</v>
      </c>
      <c r="D3" s="11" t="s">
        <v>831</v>
      </c>
      <c r="E3" s="11" t="s">
        <v>832</v>
      </c>
      <c r="F3" s="11" t="s">
        <v>835</v>
      </c>
      <c r="G3" s="11">
        <v>4</v>
      </c>
      <c r="H3" s="11">
        <v>1</v>
      </c>
      <c r="I3" s="11">
        <f t="shared" si="0"/>
        <v>4</v>
      </c>
      <c r="J3" s="11" t="s">
        <v>70</v>
      </c>
      <c r="K3" s="11"/>
    </row>
    <row r="4" spans="1:11" x14ac:dyDescent="0.45">
      <c r="A4" s="11" t="s">
        <v>828</v>
      </c>
      <c r="B4" s="11" t="s">
        <v>829</v>
      </c>
      <c r="C4" s="11" t="s">
        <v>836</v>
      </c>
      <c r="D4" s="11" t="s">
        <v>831</v>
      </c>
      <c r="E4" s="11" t="s">
        <v>832</v>
      </c>
      <c r="F4" s="11" t="s">
        <v>837</v>
      </c>
      <c r="G4" s="11">
        <v>4</v>
      </c>
      <c r="H4" s="11">
        <v>3</v>
      </c>
      <c r="I4" s="11">
        <f t="shared" si="0"/>
        <v>12</v>
      </c>
      <c r="J4" s="11" t="s">
        <v>70</v>
      </c>
      <c r="K4" s="11"/>
    </row>
    <row r="5" spans="1:11" x14ac:dyDescent="0.45">
      <c r="A5" s="11" t="s">
        <v>828</v>
      </c>
      <c r="B5" s="11" t="s">
        <v>829</v>
      </c>
      <c r="C5" s="11" t="s">
        <v>838</v>
      </c>
      <c r="D5" s="11" t="s">
        <v>831</v>
      </c>
      <c r="E5" s="11" t="s">
        <v>832</v>
      </c>
      <c r="F5" s="11" t="s">
        <v>839</v>
      </c>
      <c r="G5" s="11">
        <v>4</v>
      </c>
      <c r="H5" s="11">
        <v>3</v>
      </c>
      <c r="I5" s="11">
        <f t="shared" si="0"/>
        <v>12</v>
      </c>
      <c r="J5" s="11" t="s">
        <v>70</v>
      </c>
      <c r="K5" s="11"/>
    </row>
    <row r="6" spans="1:11" x14ac:dyDescent="0.45">
      <c r="A6" s="11" t="s">
        <v>828</v>
      </c>
      <c r="B6" s="11" t="s">
        <v>829</v>
      </c>
      <c r="C6" s="11" t="s">
        <v>840</v>
      </c>
      <c r="D6" s="11" t="s">
        <v>831</v>
      </c>
      <c r="E6" s="11" t="s">
        <v>832</v>
      </c>
      <c r="F6" s="11" t="s">
        <v>841</v>
      </c>
      <c r="G6" s="11">
        <v>4</v>
      </c>
      <c r="H6" s="11">
        <v>1</v>
      </c>
      <c r="I6" s="11">
        <f t="shared" si="0"/>
        <v>4</v>
      </c>
      <c r="J6" s="11" t="s">
        <v>70</v>
      </c>
      <c r="K6" s="11"/>
    </row>
    <row r="7" spans="1:11" x14ac:dyDescent="0.45">
      <c r="A7" s="11" t="s">
        <v>828</v>
      </c>
      <c r="B7" s="11" t="s">
        <v>829</v>
      </c>
      <c r="C7" s="11" t="s">
        <v>842</v>
      </c>
      <c r="D7" s="11" t="s">
        <v>831</v>
      </c>
      <c r="E7" s="11" t="s">
        <v>832</v>
      </c>
      <c r="F7" s="11" t="s">
        <v>70</v>
      </c>
      <c r="G7" s="11">
        <v>4</v>
      </c>
      <c r="H7" s="11">
        <v>1</v>
      </c>
      <c r="I7" s="11">
        <f t="shared" si="0"/>
        <v>4</v>
      </c>
      <c r="J7" s="11" t="s">
        <v>70</v>
      </c>
      <c r="K7" s="11"/>
    </row>
    <row r="8" spans="1:11" x14ac:dyDescent="0.45">
      <c r="A8" s="11" t="s">
        <v>828</v>
      </c>
      <c r="B8" s="11" t="s">
        <v>829</v>
      </c>
      <c r="C8" s="11" t="s">
        <v>843</v>
      </c>
      <c r="D8" s="11" t="s">
        <v>831</v>
      </c>
      <c r="E8" s="11" t="s">
        <v>832</v>
      </c>
      <c r="F8" s="11" t="s">
        <v>837</v>
      </c>
      <c r="G8" s="11">
        <v>4</v>
      </c>
      <c r="H8" s="11">
        <v>1</v>
      </c>
      <c r="I8" s="11">
        <f t="shared" si="0"/>
        <v>4</v>
      </c>
      <c r="J8" s="11" t="s">
        <v>70</v>
      </c>
      <c r="K8" s="11"/>
    </row>
    <row r="9" spans="1:11" x14ac:dyDescent="0.45">
      <c r="A9" s="11" t="s">
        <v>828</v>
      </c>
      <c r="B9" s="11" t="s">
        <v>829</v>
      </c>
      <c r="C9" s="11" t="s">
        <v>844</v>
      </c>
      <c r="D9" s="11" t="s">
        <v>831</v>
      </c>
      <c r="E9" s="11" t="s">
        <v>832</v>
      </c>
      <c r="F9" s="11" t="s">
        <v>839</v>
      </c>
      <c r="G9" s="11">
        <v>4</v>
      </c>
      <c r="H9" s="11">
        <v>1</v>
      </c>
      <c r="I9" s="11">
        <f t="shared" si="0"/>
        <v>4</v>
      </c>
      <c r="J9" s="11" t="s">
        <v>70</v>
      </c>
      <c r="K9" s="11"/>
    </row>
    <row r="10" spans="1:11" x14ac:dyDescent="0.45">
      <c r="A10" s="11" t="s">
        <v>828</v>
      </c>
      <c r="B10" s="11" t="s">
        <v>829</v>
      </c>
      <c r="C10" s="11" t="s">
        <v>845</v>
      </c>
      <c r="D10" s="11" t="s">
        <v>831</v>
      </c>
      <c r="E10" s="11" t="s">
        <v>832</v>
      </c>
      <c r="F10" s="11" t="s">
        <v>833</v>
      </c>
      <c r="G10" s="11">
        <v>4</v>
      </c>
      <c r="H10" s="11">
        <v>1</v>
      </c>
      <c r="I10" s="11">
        <f t="shared" si="0"/>
        <v>4</v>
      </c>
      <c r="J10" s="11" t="s">
        <v>70</v>
      </c>
      <c r="K10" s="11"/>
    </row>
    <row r="11" spans="1:11" x14ac:dyDescent="0.45">
      <c r="A11" s="11" t="s">
        <v>828</v>
      </c>
      <c r="B11" s="11" t="s">
        <v>829</v>
      </c>
      <c r="C11" s="11" t="s">
        <v>846</v>
      </c>
      <c r="D11" s="11" t="s">
        <v>831</v>
      </c>
      <c r="E11" s="11" t="s">
        <v>847</v>
      </c>
      <c r="F11" s="11" t="s">
        <v>848</v>
      </c>
      <c r="G11" s="11">
        <v>4</v>
      </c>
      <c r="H11" s="11">
        <v>1</v>
      </c>
      <c r="I11" s="11">
        <f t="shared" si="0"/>
        <v>4</v>
      </c>
      <c r="J11" s="11" t="s">
        <v>70</v>
      </c>
      <c r="K11" s="11"/>
    </row>
    <row r="12" spans="1:11" x14ac:dyDescent="0.45">
      <c r="A12" s="11" t="s">
        <v>828</v>
      </c>
      <c r="B12" s="11" t="s">
        <v>829</v>
      </c>
      <c r="C12" s="11" t="s">
        <v>849</v>
      </c>
      <c r="D12" s="11" t="s">
        <v>831</v>
      </c>
      <c r="E12" s="11" t="s">
        <v>847</v>
      </c>
      <c r="F12" s="11" t="s">
        <v>850</v>
      </c>
      <c r="G12" s="11">
        <v>4</v>
      </c>
      <c r="H12" s="11">
        <v>1</v>
      </c>
      <c r="I12" s="11">
        <f t="shared" si="0"/>
        <v>4</v>
      </c>
      <c r="J12" s="11" t="s">
        <v>70</v>
      </c>
      <c r="K12" s="11"/>
    </row>
    <row r="13" spans="1:11" x14ac:dyDescent="0.45">
      <c r="A13" s="11" t="s">
        <v>828</v>
      </c>
      <c r="B13" s="11" t="s">
        <v>829</v>
      </c>
      <c r="C13" s="11" t="s">
        <v>851</v>
      </c>
      <c r="D13" s="11" t="s">
        <v>831</v>
      </c>
      <c r="E13" s="11" t="s">
        <v>832</v>
      </c>
      <c r="F13" s="11" t="s">
        <v>852</v>
      </c>
      <c r="G13" s="11">
        <v>4</v>
      </c>
      <c r="H13" s="11">
        <v>1</v>
      </c>
      <c r="I13" s="11">
        <f t="shared" si="0"/>
        <v>4</v>
      </c>
      <c r="J13" s="11" t="s">
        <v>70</v>
      </c>
      <c r="K13" s="11"/>
    </row>
    <row r="14" spans="1:11" x14ac:dyDescent="0.45">
      <c r="A14" s="11" t="s">
        <v>828</v>
      </c>
      <c r="B14" s="11" t="s">
        <v>829</v>
      </c>
      <c r="C14" s="11" t="s">
        <v>853</v>
      </c>
      <c r="D14" s="11" t="s">
        <v>831</v>
      </c>
      <c r="E14" s="11" t="s">
        <v>832</v>
      </c>
      <c r="F14" s="11" t="s">
        <v>854</v>
      </c>
      <c r="G14" s="11">
        <v>4</v>
      </c>
      <c r="H14" s="11">
        <v>1</v>
      </c>
      <c r="I14" s="11">
        <f t="shared" si="0"/>
        <v>4</v>
      </c>
      <c r="J14" s="11" t="s">
        <v>70</v>
      </c>
      <c r="K14" s="11"/>
    </row>
    <row r="15" spans="1:11" x14ac:dyDescent="0.45">
      <c r="A15" s="11" t="s">
        <v>828</v>
      </c>
      <c r="B15" s="11" t="s">
        <v>829</v>
      </c>
      <c r="C15" s="11" t="s">
        <v>855</v>
      </c>
      <c r="D15" s="11" t="s">
        <v>831</v>
      </c>
      <c r="E15" s="11" t="s">
        <v>3</v>
      </c>
      <c r="F15" s="11" t="s">
        <v>70</v>
      </c>
      <c r="G15" s="11">
        <v>4</v>
      </c>
      <c r="H15" s="11">
        <v>1</v>
      </c>
      <c r="I15" s="11">
        <f t="shared" si="0"/>
        <v>4</v>
      </c>
      <c r="J15" s="11" t="s">
        <v>70</v>
      </c>
      <c r="K15" s="11"/>
    </row>
    <row r="16" spans="1:11" x14ac:dyDescent="0.45">
      <c r="A16" s="11" t="s">
        <v>828</v>
      </c>
      <c r="B16" s="11" t="s">
        <v>829</v>
      </c>
      <c r="C16" s="11" t="s">
        <v>856</v>
      </c>
      <c r="D16" s="11" t="s">
        <v>831</v>
      </c>
      <c r="E16" s="11" t="s">
        <v>3</v>
      </c>
      <c r="F16" s="11" t="s">
        <v>70</v>
      </c>
      <c r="G16" s="11">
        <v>4</v>
      </c>
      <c r="H16" s="11">
        <v>1</v>
      </c>
      <c r="I16" s="11">
        <f t="shared" si="0"/>
        <v>4</v>
      </c>
      <c r="J16" s="11" t="s">
        <v>70</v>
      </c>
      <c r="K16" s="11"/>
    </row>
    <row r="17" spans="1:11" x14ac:dyDescent="0.45">
      <c r="A17" s="11" t="s">
        <v>828</v>
      </c>
      <c r="B17" s="11" t="s">
        <v>829</v>
      </c>
      <c r="C17" s="11" t="s">
        <v>857</v>
      </c>
      <c r="D17" s="11" t="s">
        <v>831</v>
      </c>
      <c r="E17" s="11" t="s">
        <v>3</v>
      </c>
      <c r="F17" s="11" t="s">
        <v>70</v>
      </c>
      <c r="G17" s="11">
        <v>4</v>
      </c>
      <c r="H17" s="11">
        <v>1</v>
      </c>
      <c r="I17" s="11">
        <f t="shared" si="0"/>
        <v>4</v>
      </c>
      <c r="J17" s="11" t="s">
        <v>70</v>
      </c>
      <c r="K17" s="11"/>
    </row>
    <row r="18" spans="1:11" x14ac:dyDescent="0.45">
      <c r="A18" s="11" t="s">
        <v>828</v>
      </c>
      <c r="B18" s="11" t="s">
        <v>829</v>
      </c>
      <c r="C18" s="11" t="s">
        <v>858</v>
      </c>
      <c r="D18" s="11" t="s">
        <v>831</v>
      </c>
      <c r="E18" s="11" t="s">
        <v>3</v>
      </c>
      <c r="F18" s="11" t="s">
        <v>70</v>
      </c>
      <c r="G18" s="11">
        <v>4</v>
      </c>
      <c r="H18" s="11">
        <v>1</v>
      </c>
      <c r="I18" s="11">
        <f t="shared" si="0"/>
        <v>4</v>
      </c>
      <c r="J18" s="11" t="s">
        <v>70</v>
      </c>
      <c r="K18" s="11"/>
    </row>
    <row r="19" spans="1:11" ht="25.5" x14ac:dyDescent="0.45">
      <c r="A19" s="11" t="s">
        <v>828</v>
      </c>
      <c r="B19" s="11" t="s">
        <v>829</v>
      </c>
      <c r="C19" s="11" t="s">
        <v>859</v>
      </c>
      <c r="D19" s="11" t="s">
        <v>860</v>
      </c>
      <c r="E19" s="11" t="s">
        <v>861</v>
      </c>
      <c r="F19" s="11" t="s">
        <v>862</v>
      </c>
      <c r="G19" s="11">
        <v>4</v>
      </c>
      <c r="H19" s="11">
        <v>1</v>
      </c>
      <c r="I19" s="11">
        <f t="shared" si="0"/>
        <v>4</v>
      </c>
      <c r="J19" s="11" t="s">
        <v>863</v>
      </c>
      <c r="K19" s="11" t="s">
        <v>864</v>
      </c>
    </row>
    <row r="20" spans="1:11" x14ac:dyDescent="0.45">
      <c r="A20" s="11" t="s">
        <v>828</v>
      </c>
      <c r="B20" s="11" t="s">
        <v>829</v>
      </c>
      <c r="C20" s="11" t="s">
        <v>865</v>
      </c>
      <c r="D20" s="11" t="s">
        <v>860</v>
      </c>
      <c r="E20" s="11" t="s">
        <v>866</v>
      </c>
      <c r="F20" s="11" t="s">
        <v>70</v>
      </c>
      <c r="G20" s="11">
        <v>4</v>
      </c>
      <c r="H20" s="11">
        <v>1</v>
      </c>
      <c r="I20" s="11">
        <f t="shared" si="0"/>
        <v>4</v>
      </c>
      <c r="J20" s="11" t="s">
        <v>863</v>
      </c>
      <c r="K20" s="11"/>
    </row>
    <row r="21" spans="1:11" x14ac:dyDescent="0.45">
      <c r="A21" s="11" t="s">
        <v>867</v>
      </c>
      <c r="B21" s="11" t="s">
        <v>81</v>
      </c>
      <c r="C21" s="11" t="s">
        <v>868</v>
      </c>
      <c r="D21" s="11" t="s">
        <v>831</v>
      </c>
      <c r="E21" s="11" t="s">
        <v>832</v>
      </c>
      <c r="F21" s="11" t="s">
        <v>833</v>
      </c>
      <c r="G21" s="11">
        <v>1</v>
      </c>
      <c r="H21" s="11">
        <v>1</v>
      </c>
      <c r="I21" s="11">
        <f t="shared" si="0"/>
        <v>1</v>
      </c>
      <c r="J21" s="11" t="s">
        <v>70</v>
      </c>
      <c r="K21" s="11"/>
    </row>
    <row r="22" spans="1:11" x14ac:dyDescent="0.45">
      <c r="A22" s="11" t="s">
        <v>867</v>
      </c>
      <c r="B22" s="11" t="s">
        <v>81</v>
      </c>
      <c r="C22" s="11" t="s">
        <v>869</v>
      </c>
      <c r="D22" s="11" t="s">
        <v>831</v>
      </c>
      <c r="E22" s="11" t="s">
        <v>832</v>
      </c>
      <c r="F22" s="11" t="s">
        <v>835</v>
      </c>
      <c r="G22" s="11">
        <v>1</v>
      </c>
      <c r="H22" s="11">
        <v>1</v>
      </c>
      <c r="I22" s="11">
        <f t="shared" si="0"/>
        <v>1</v>
      </c>
      <c r="J22" s="11" t="s">
        <v>70</v>
      </c>
      <c r="K22" s="11"/>
    </row>
    <row r="23" spans="1:11" x14ac:dyDescent="0.45">
      <c r="A23" s="11" t="s">
        <v>867</v>
      </c>
      <c r="B23" s="11" t="s">
        <v>81</v>
      </c>
      <c r="C23" s="11" t="s">
        <v>870</v>
      </c>
      <c r="D23" s="11" t="s">
        <v>831</v>
      </c>
      <c r="E23" s="11" t="s">
        <v>832</v>
      </c>
      <c r="F23" s="11" t="s">
        <v>833</v>
      </c>
      <c r="G23" s="11">
        <v>1</v>
      </c>
      <c r="H23" s="11">
        <v>1</v>
      </c>
      <c r="I23" s="11">
        <f t="shared" si="0"/>
        <v>1</v>
      </c>
      <c r="J23" s="11" t="s">
        <v>70</v>
      </c>
      <c r="K23" s="11"/>
    </row>
    <row r="24" spans="1:11" x14ac:dyDescent="0.45">
      <c r="A24" s="11" t="s">
        <v>867</v>
      </c>
      <c r="B24" s="11" t="s">
        <v>81</v>
      </c>
      <c r="C24" s="11" t="s">
        <v>871</v>
      </c>
      <c r="D24" s="11" t="s">
        <v>831</v>
      </c>
      <c r="E24" s="11" t="s">
        <v>832</v>
      </c>
      <c r="F24" s="11" t="s">
        <v>833</v>
      </c>
      <c r="G24" s="11">
        <v>1</v>
      </c>
      <c r="H24" s="11">
        <v>1</v>
      </c>
      <c r="I24" s="11">
        <f t="shared" si="0"/>
        <v>1</v>
      </c>
      <c r="J24" s="11" t="s">
        <v>70</v>
      </c>
      <c r="K24" s="11"/>
    </row>
    <row r="25" spans="1:11" x14ac:dyDescent="0.45">
      <c r="A25" s="11" t="s">
        <v>867</v>
      </c>
      <c r="B25" s="11" t="s">
        <v>81</v>
      </c>
      <c r="C25" s="11" t="s">
        <v>872</v>
      </c>
      <c r="D25" s="11" t="s">
        <v>831</v>
      </c>
      <c r="E25" s="11" t="s">
        <v>832</v>
      </c>
      <c r="F25" s="11" t="s">
        <v>833</v>
      </c>
      <c r="G25" s="11">
        <v>1</v>
      </c>
      <c r="H25" s="11">
        <v>1</v>
      </c>
      <c r="I25" s="11">
        <f t="shared" si="0"/>
        <v>1</v>
      </c>
      <c r="J25" s="11" t="s">
        <v>70</v>
      </c>
      <c r="K25" s="11"/>
    </row>
    <row r="26" spans="1:11" x14ac:dyDescent="0.45">
      <c r="A26" s="11" t="s">
        <v>867</v>
      </c>
      <c r="B26" s="11" t="s">
        <v>81</v>
      </c>
      <c r="C26" s="11" t="s">
        <v>873</v>
      </c>
      <c r="D26" s="11" t="s">
        <v>831</v>
      </c>
      <c r="E26" s="11" t="s">
        <v>832</v>
      </c>
      <c r="F26" s="11" t="s">
        <v>833</v>
      </c>
      <c r="G26" s="11">
        <v>1</v>
      </c>
      <c r="H26" s="11">
        <v>1</v>
      </c>
      <c r="I26" s="11">
        <f t="shared" si="0"/>
        <v>1</v>
      </c>
      <c r="J26" s="11" t="s">
        <v>70</v>
      </c>
      <c r="K26" s="11"/>
    </row>
    <row r="27" spans="1:11" x14ac:dyDescent="0.45">
      <c r="A27" s="11" t="s">
        <v>867</v>
      </c>
      <c r="B27" s="11" t="s">
        <v>81</v>
      </c>
      <c r="C27" s="11" t="s">
        <v>874</v>
      </c>
      <c r="D27" s="11" t="s">
        <v>831</v>
      </c>
      <c r="E27" s="11" t="s">
        <v>832</v>
      </c>
      <c r="F27" s="11" t="s">
        <v>875</v>
      </c>
      <c r="G27" s="11">
        <v>1</v>
      </c>
      <c r="H27" s="11">
        <v>1</v>
      </c>
      <c r="I27" s="11">
        <f t="shared" si="0"/>
        <v>1</v>
      </c>
      <c r="J27" s="11" t="s">
        <v>70</v>
      </c>
      <c r="K27" s="11"/>
    </row>
    <row r="28" spans="1:11" x14ac:dyDescent="0.45">
      <c r="A28" s="11" t="s">
        <v>867</v>
      </c>
      <c r="B28" s="11" t="s">
        <v>81</v>
      </c>
      <c r="C28" s="11" t="s">
        <v>876</v>
      </c>
      <c r="D28" s="11" t="s">
        <v>831</v>
      </c>
      <c r="E28" s="11" t="s">
        <v>832</v>
      </c>
      <c r="F28" s="11" t="s">
        <v>841</v>
      </c>
      <c r="G28" s="11">
        <v>1</v>
      </c>
      <c r="H28" s="11">
        <v>1</v>
      </c>
      <c r="I28" s="11">
        <f t="shared" si="0"/>
        <v>1</v>
      </c>
      <c r="J28" s="11" t="s">
        <v>70</v>
      </c>
      <c r="K28" s="11"/>
    </row>
    <row r="29" spans="1:11" x14ac:dyDescent="0.45">
      <c r="A29" s="11" t="s">
        <v>867</v>
      </c>
      <c r="B29" s="11" t="s">
        <v>81</v>
      </c>
      <c r="C29" s="11" t="s">
        <v>877</v>
      </c>
      <c r="D29" s="11" t="s">
        <v>831</v>
      </c>
      <c r="E29" s="11" t="s">
        <v>3</v>
      </c>
      <c r="F29" s="11" t="s">
        <v>70</v>
      </c>
      <c r="G29" s="11">
        <v>1</v>
      </c>
      <c r="H29" s="11">
        <v>1</v>
      </c>
      <c r="I29" s="11">
        <f t="shared" si="0"/>
        <v>1</v>
      </c>
      <c r="J29" s="11" t="s">
        <v>70</v>
      </c>
      <c r="K29" s="11"/>
    </row>
    <row r="30" spans="1:11" x14ac:dyDescent="0.45">
      <c r="A30" s="11" t="s">
        <v>867</v>
      </c>
      <c r="B30" s="11" t="s">
        <v>81</v>
      </c>
      <c r="C30" s="11" t="s">
        <v>878</v>
      </c>
      <c r="D30" s="11" t="s">
        <v>831</v>
      </c>
      <c r="E30" s="11" t="s">
        <v>3</v>
      </c>
      <c r="F30" s="11" t="s">
        <v>70</v>
      </c>
      <c r="G30" s="11">
        <v>1</v>
      </c>
      <c r="H30" s="11">
        <v>1</v>
      </c>
      <c r="I30" s="11">
        <f t="shared" si="0"/>
        <v>1</v>
      </c>
      <c r="J30" s="11" t="s">
        <v>70</v>
      </c>
      <c r="K30" s="11"/>
    </row>
    <row r="31" spans="1:11" x14ac:dyDescent="0.45">
      <c r="A31" s="11" t="s">
        <v>867</v>
      </c>
      <c r="B31" s="11" t="s">
        <v>81</v>
      </c>
      <c r="C31" s="11" t="s">
        <v>879</v>
      </c>
      <c r="D31" s="11" t="s">
        <v>831</v>
      </c>
      <c r="E31" s="11" t="s">
        <v>3</v>
      </c>
      <c r="F31" s="11" t="s">
        <v>70</v>
      </c>
      <c r="G31" s="11">
        <v>1</v>
      </c>
      <c r="H31" s="11">
        <v>1</v>
      </c>
      <c r="I31" s="11">
        <f t="shared" si="0"/>
        <v>1</v>
      </c>
      <c r="J31" s="11" t="s">
        <v>70</v>
      </c>
      <c r="K31" s="11"/>
    </row>
    <row r="32" spans="1:11" x14ac:dyDescent="0.45">
      <c r="A32" s="11" t="s">
        <v>867</v>
      </c>
      <c r="B32" s="11" t="s">
        <v>81</v>
      </c>
      <c r="C32" s="11" t="s">
        <v>880</v>
      </c>
      <c r="D32" s="11" t="s">
        <v>831</v>
      </c>
      <c r="E32" s="11" t="s">
        <v>3</v>
      </c>
      <c r="F32" s="11" t="s">
        <v>70</v>
      </c>
      <c r="G32" s="11">
        <v>1</v>
      </c>
      <c r="H32" s="11">
        <v>1</v>
      </c>
      <c r="I32" s="11">
        <f t="shared" si="0"/>
        <v>1</v>
      </c>
      <c r="J32" s="11" t="s">
        <v>70</v>
      </c>
      <c r="K32" s="11"/>
    </row>
    <row r="33" spans="1:11" x14ac:dyDescent="0.45">
      <c r="A33" s="11" t="s">
        <v>867</v>
      </c>
      <c r="B33" s="11" t="s">
        <v>81</v>
      </c>
      <c r="C33" s="11" t="s">
        <v>881</v>
      </c>
      <c r="D33" s="11" t="s">
        <v>831</v>
      </c>
      <c r="E33" s="11" t="s">
        <v>3</v>
      </c>
      <c r="F33" s="11" t="s">
        <v>70</v>
      </c>
      <c r="G33" s="11">
        <v>1</v>
      </c>
      <c r="H33" s="11">
        <v>1</v>
      </c>
      <c r="I33" s="11">
        <f t="shared" si="0"/>
        <v>1</v>
      </c>
      <c r="J33" s="11" t="s">
        <v>70</v>
      </c>
      <c r="K33" s="11"/>
    </row>
    <row r="34" spans="1:11" x14ac:dyDescent="0.45">
      <c r="A34" s="11" t="s">
        <v>867</v>
      </c>
      <c r="B34" s="11" t="s">
        <v>81</v>
      </c>
      <c r="C34" s="11" t="s">
        <v>882</v>
      </c>
      <c r="D34" s="11" t="s">
        <v>883</v>
      </c>
      <c r="E34" s="11" t="s">
        <v>847</v>
      </c>
      <c r="F34" s="11" t="s">
        <v>70</v>
      </c>
      <c r="G34" s="11">
        <v>1</v>
      </c>
      <c r="H34" s="11">
        <v>1</v>
      </c>
      <c r="I34" s="11">
        <f t="shared" ref="I34:I65" si="1">G34*H34</f>
        <v>1</v>
      </c>
      <c r="J34" s="11" t="s">
        <v>505</v>
      </c>
      <c r="K34" s="11" t="s">
        <v>884</v>
      </c>
    </row>
    <row r="35" spans="1:11" x14ac:dyDescent="0.45">
      <c r="A35" s="11" t="s">
        <v>867</v>
      </c>
      <c r="B35" s="11" t="s">
        <v>81</v>
      </c>
      <c r="C35" s="11" t="s">
        <v>885</v>
      </c>
      <c r="D35" s="11" t="s">
        <v>860</v>
      </c>
      <c r="E35" s="11" t="s">
        <v>866</v>
      </c>
      <c r="F35" s="11" t="s">
        <v>70</v>
      </c>
      <c r="G35" s="11">
        <v>1</v>
      </c>
      <c r="H35" s="11">
        <v>1</v>
      </c>
      <c r="I35" s="11">
        <f t="shared" si="1"/>
        <v>1</v>
      </c>
      <c r="J35" s="11" t="s">
        <v>863</v>
      </c>
      <c r="K35" s="11"/>
    </row>
    <row r="36" spans="1:11" x14ac:dyDescent="0.45">
      <c r="A36" s="11" t="s">
        <v>867</v>
      </c>
      <c r="B36" s="11" t="s">
        <v>81</v>
      </c>
      <c r="C36" s="11" t="s">
        <v>886</v>
      </c>
      <c r="D36" s="11" t="s">
        <v>860</v>
      </c>
      <c r="E36" s="11" t="s">
        <v>861</v>
      </c>
      <c r="F36" s="11" t="s">
        <v>862</v>
      </c>
      <c r="G36" s="11">
        <v>1</v>
      </c>
      <c r="H36" s="11">
        <v>1</v>
      </c>
      <c r="I36" s="11">
        <f t="shared" si="1"/>
        <v>1</v>
      </c>
      <c r="J36" s="11" t="s">
        <v>863</v>
      </c>
      <c r="K36" s="11"/>
    </row>
    <row r="37" spans="1:11" x14ac:dyDescent="0.45">
      <c r="A37" s="11" t="s">
        <v>867</v>
      </c>
      <c r="B37" s="11" t="s">
        <v>81</v>
      </c>
      <c r="C37" s="11" t="s">
        <v>887</v>
      </c>
      <c r="D37" s="11" t="s">
        <v>860</v>
      </c>
      <c r="E37" s="11" t="s">
        <v>861</v>
      </c>
      <c r="F37" s="11" t="s">
        <v>862</v>
      </c>
      <c r="G37" s="11">
        <v>1</v>
      </c>
      <c r="H37" s="11">
        <v>1</v>
      </c>
      <c r="I37" s="11">
        <f t="shared" si="1"/>
        <v>1</v>
      </c>
      <c r="J37" s="11" t="s">
        <v>863</v>
      </c>
      <c r="K37" s="11"/>
    </row>
    <row r="38" spans="1:11" x14ac:dyDescent="0.45">
      <c r="A38" s="11" t="s">
        <v>867</v>
      </c>
      <c r="B38" s="11" t="s">
        <v>81</v>
      </c>
      <c r="C38" s="11" t="s">
        <v>888</v>
      </c>
      <c r="D38" s="11" t="s">
        <v>860</v>
      </c>
      <c r="E38" s="11" t="s">
        <v>861</v>
      </c>
      <c r="F38" s="11" t="s">
        <v>862</v>
      </c>
      <c r="G38" s="11">
        <v>1</v>
      </c>
      <c r="H38" s="11">
        <v>1</v>
      </c>
      <c r="I38" s="11">
        <f t="shared" si="1"/>
        <v>1</v>
      </c>
      <c r="J38" s="11" t="s">
        <v>863</v>
      </c>
      <c r="K38" s="11"/>
    </row>
    <row r="39" spans="1:11" x14ac:dyDescent="0.45">
      <c r="A39" s="11" t="s">
        <v>867</v>
      </c>
      <c r="B39" s="11" t="s">
        <v>81</v>
      </c>
      <c r="C39" s="11" t="s">
        <v>889</v>
      </c>
      <c r="D39" s="11" t="s">
        <v>860</v>
      </c>
      <c r="E39" s="11" t="s">
        <v>861</v>
      </c>
      <c r="F39" s="11" t="s">
        <v>862</v>
      </c>
      <c r="G39" s="11">
        <v>1</v>
      </c>
      <c r="H39" s="11">
        <v>1</v>
      </c>
      <c r="I39" s="11">
        <f t="shared" si="1"/>
        <v>1</v>
      </c>
      <c r="J39" s="11" t="s">
        <v>863</v>
      </c>
      <c r="K39" s="11"/>
    </row>
    <row r="40" spans="1:11" x14ac:dyDescent="0.45">
      <c r="A40" s="11" t="s">
        <v>867</v>
      </c>
      <c r="B40" s="11" t="s">
        <v>81</v>
      </c>
      <c r="C40" s="11" t="s">
        <v>890</v>
      </c>
      <c r="D40" s="11" t="s">
        <v>860</v>
      </c>
      <c r="E40" s="11" t="s">
        <v>861</v>
      </c>
      <c r="F40" s="11" t="s">
        <v>833</v>
      </c>
      <c r="G40" s="11">
        <v>1</v>
      </c>
      <c r="H40" s="11">
        <v>1</v>
      </c>
      <c r="I40" s="11">
        <f t="shared" si="1"/>
        <v>1</v>
      </c>
      <c r="J40" s="11" t="s">
        <v>863</v>
      </c>
      <c r="K40" s="11"/>
    </row>
    <row r="41" spans="1:11" ht="25.5" x14ac:dyDescent="0.45">
      <c r="A41" s="11" t="s">
        <v>867</v>
      </c>
      <c r="B41" s="11" t="s">
        <v>81</v>
      </c>
      <c r="C41" s="11" t="s">
        <v>891</v>
      </c>
      <c r="D41" s="11" t="s">
        <v>860</v>
      </c>
      <c r="E41" s="11" t="s">
        <v>866</v>
      </c>
      <c r="F41" s="11" t="s">
        <v>70</v>
      </c>
      <c r="G41" s="11">
        <v>1</v>
      </c>
      <c r="H41" s="11">
        <v>1</v>
      </c>
      <c r="I41" s="11">
        <f t="shared" si="1"/>
        <v>1</v>
      </c>
      <c r="J41" s="11" t="s">
        <v>863</v>
      </c>
      <c r="K41" s="11" t="s">
        <v>892</v>
      </c>
    </row>
    <row r="42" spans="1:11" x14ac:dyDescent="0.45">
      <c r="A42" s="11" t="s">
        <v>867</v>
      </c>
      <c r="B42" s="11" t="s">
        <v>81</v>
      </c>
      <c r="C42" s="11" t="s">
        <v>893</v>
      </c>
      <c r="D42" s="11" t="s">
        <v>860</v>
      </c>
      <c r="E42" s="11" t="s">
        <v>866</v>
      </c>
      <c r="F42" s="11" t="s">
        <v>70</v>
      </c>
      <c r="G42" s="11">
        <v>1</v>
      </c>
      <c r="H42" s="11">
        <v>1</v>
      </c>
      <c r="I42" s="11">
        <f t="shared" si="1"/>
        <v>1</v>
      </c>
      <c r="J42" s="11" t="s">
        <v>474</v>
      </c>
      <c r="K42" s="11"/>
    </row>
    <row r="43" spans="1:11" x14ac:dyDescent="0.45">
      <c r="A43" s="11" t="s">
        <v>867</v>
      </c>
      <c r="B43" s="11" t="s">
        <v>81</v>
      </c>
      <c r="C43" s="11" t="s">
        <v>894</v>
      </c>
      <c r="D43" s="11" t="s">
        <v>860</v>
      </c>
      <c r="E43" s="11" t="s">
        <v>866</v>
      </c>
      <c r="F43" s="11" t="s">
        <v>70</v>
      </c>
      <c r="G43" s="11">
        <v>1</v>
      </c>
      <c r="H43" s="11">
        <v>1</v>
      </c>
      <c r="I43" s="11">
        <f t="shared" si="1"/>
        <v>1</v>
      </c>
      <c r="J43" s="11" t="s">
        <v>863</v>
      </c>
      <c r="K43" s="11"/>
    </row>
    <row r="44" spans="1:11" ht="25.5" x14ac:dyDescent="0.45">
      <c r="A44" s="11" t="s">
        <v>895</v>
      </c>
      <c r="B44" s="11" t="s">
        <v>92</v>
      </c>
      <c r="C44" s="11" t="s">
        <v>896</v>
      </c>
      <c r="D44" s="11" t="s">
        <v>831</v>
      </c>
      <c r="E44" s="11" t="s">
        <v>832</v>
      </c>
      <c r="F44" s="11" t="s">
        <v>862</v>
      </c>
      <c r="G44" s="11">
        <v>1</v>
      </c>
      <c r="H44" s="11">
        <v>1</v>
      </c>
      <c r="I44" s="11">
        <f t="shared" si="1"/>
        <v>1</v>
      </c>
      <c r="J44" s="11" t="s">
        <v>70</v>
      </c>
      <c r="K44" s="11"/>
    </row>
    <row r="45" spans="1:11" ht="25.5" x14ac:dyDescent="0.45">
      <c r="A45" s="11" t="s">
        <v>895</v>
      </c>
      <c r="B45" s="11" t="s">
        <v>92</v>
      </c>
      <c r="C45" s="11" t="s">
        <v>897</v>
      </c>
      <c r="D45" s="11" t="s">
        <v>831</v>
      </c>
      <c r="E45" s="11" t="s">
        <v>832</v>
      </c>
      <c r="F45" s="11" t="s">
        <v>862</v>
      </c>
      <c r="G45" s="11">
        <v>1</v>
      </c>
      <c r="H45" s="11">
        <v>1</v>
      </c>
      <c r="I45" s="11">
        <f t="shared" si="1"/>
        <v>1</v>
      </c>
      <c r="J45" s="11" t="s">
        <v>70</v>
      </c>
      <c r="K45" s="11"/>
    </row>
    <row r="46" spans="1:11" ht="25.5" x14ac:dyDescent="0.45">
      <c r="A46" s="11" t="s">
        <v>895</v>
      </c>
      <c r="B46" s="11" t="s">
        <v>92</v>
      </c>
      <c r="C46" s="11" t="s">
        <v>843</v>
      </c>
      <c r="D46" s="11" t="s">
        <v>831</v>
      </c>
      <c r="E46" s="11" t="s">
        <v>832</v>
      </c>
      <c r="F46" s="11" t="s">
        <v>837</v>
      </c>
      <c r="G46" s="11">
        <v>1</v>
      </c>
      <c r="H46" s="11">
        <v>1</v>
      </c>
      <c r="I46" s="11">
        <f t="shared" si="1"/>
        <v>1</v>
      </c>
      <c r="J46" s="11" t="s">
        <v>70</v>
      </c>
      <c r="K46" s="11"/>
    </row>
    <row r="47" spans="1:11" ht="25.5" x14ac:dyDescent="0.45">
      <c r="A47" s="11" t="s">
        <v>895</v>
      </c>
      <c r="B47" s="11" t="s">
        <v>92</v>
      </c>
      <c r="C47" s="11" t="s">
        <v>844</v>
      </c>
      <c r="D47" s="11" t="s">
        <v>831</v>
      </c>
      <c r="E47" s="11" t="s">
        <v>832</v>
      </c>
      <c r="F47" s="11" t="s">
        <v>839</v>
      </c>
      <c r="G47" s="11">
        <v>1</v>
      </c>
      <c r="H47" s="11">
        <v>1</v>
      </c>
      <c r="I47" s="11">
        <f t="shared" si="1"/>
        <v>1</v>
      </c>
      <c r="J47" s="11" t="s">
        <v>70</v>
      </c>
      <c r="K47" s="11"/>
    </row>
    <row r="48" spans="1:11" ht="25.5" x14ac:dyDescent="0.45">
      <c r="A48" s="11" t="s">
        <v>895</v>
      </c>
      <c r="B48" s="11" t="s">
        <v>92</v>
      </c>
      <c r="C48" s="11" t="s">
        <v>830</v>
      </c>
      <c r="D48" s="11" t="s">
        <v>831</v>
      </c>
      <c r="E48" s="11" t="s">
        <v>832</v>
      </c>
      <c r="F48" s="11" t="s">
        <v>833</v>
      </c>
      <c r="G48" s="11">
        <v>1</v>
      </c>
      <c r="H48" s="11">
        <v>1</v>
      </c>
      <c r="I48" s="11">
        <f t="shared" si="1"/>
        <v>1</v>
      </c>
      <c r="J48" s="11" t="s">
        <v>70</v>
      </c>
      <c r="K48" s="11"/>
    </row>
    <row r="49" spans="1:11" ht="25.5" x14ac:dyDescent="0.45">
      <c r="A49" s="11" t="s">
        <v>895</v>
      </c>
      <c r="B49" s="11" t="s">
        <v>92</v>
      </c>
      <c r="C49" s="11" t="s">
        <v>834</v>
      </c>
      <c r="D49" s="11" t="s">
        <v>831</v>
      </c>
      <c r="E49" s="11" t="s">
        <v>832</v>
      </c>
      <c r="F49" s="11" t="s">
        <v>835</v>
      </c>
      <c r="G49" s="11">
        <v>1</v>
      </c>
      <c r="H49" s="11">
        <v>1</v>
      </c>
      <c r="I49" s="11">
        <f t="shared" si="1"/>
        <v>1</v>
      </c>
      <c r="J49" s="11" t="s">
        <v>70</v>
      </c>
      <c r="K49" s="11"/>
    </row>
    <row r="50" spans="1:11" ht="25.5" x14ac:dyDescent="0.45">
      <c r="A50" s="11" t="s">
        <v>895</v>
      </c>
      <c r="B50" s="11" t="s">
        <v>92</v>
      </c>
      <c r="C50" s="11" t="s">
        <v>898</v>
      </c>
      <c r="D50" s="11" t="s">
        <v>831</v>
      </c>
      <c r="E50" s="11" t="s">
        <v>832</v>
      </c>
      <c r="F50" s="11" t="s">
        <v>837</v>
      </c>
      <c r="G50" s="11">
        <v>1</v>
      </c>
      <c r="H50" s="11">
        <v>1</v>
      </c>
      <c r="I50" s="11">
        <f t="shared" si="1"/>
        <v>1</v>
      </c>
      <c r="J50" s="11" t="s">
        <v>70</v>
      </c>
      <c r="K50" s="11"/>
    </row>
    <row r="51" spans="1:11" ht="25.5" x14ac:dyDescent="0.45">
      <c r="A51" s="11" t="s">
        <v>895</v>
      </c>
      <c r="B51" s="11" t="s">
        <v>92</v>
      </c>
      <c r="C51" s="11" t="s">
        <v>899</v>
      </c>
      <c r="D51" s="11" t="s">
        <v>831</v>
      </c>
      <c r="E51" s="11" t="s">
        <v>832</v>
      </c>
      <c r="F51" s="11" t="s">
        <v>837</v>
      </c>
      <c r="G51" s="11">
        <v>1</v>
      </c>
      <c r="H51" s="11">
        <v>1</v>
      </c>
      <c r="I51" s="11">
        <f t="shared" si="1"/>
        <v>1</v>
      </c>
      <c r="J51" s="11" t="s">
        <v>70</v>
      </c>
      <c r="K51" s="11"/>
    </row>
    <row r="52" spans="1:11" ht="25.5" x14ac:dyDescent="0.45">
      <c r="A52" s="11" t="s">
        <v>895</v>
      </c>
      <c r="B52" s="11" t="s">
        <v>92</v>
      </c>
      <c r="C52" s="11" t="s">
        <v>900</v>
      </c>
      <c r="D52" s="11" t="s">
        <v>831</v>
      </c>
      <c r="E52" s="11" t="s">
        <v>832</v>
      </c>
      <c r="F52" s="11" t="s">
        <v>852</v>
      </c>
      <c r="G52" s="11">
        <v>1</v>
      </c>
      <c r="H52" s="11">
        <v>1</v>
      </c>
      <c r="I52" s="11">
        <f t="shared" si="1"/>
        <v>1</v>
      </c>
      <c r="J52" s="11" t="s">
        <v>70</v>
      </c>
      <c r="K52" s="11"/>
    </row>
    <row r="53" spans="1:11" ht="25.5" x14ac:dyDescent="0.45">
      <c r="A53" s="11" t="s">
        <v>895</v>
      </c>
      <c r="B53" s="11" t="s">
        <v>92</v>
      </c>
      <c r="C53" s="11" t="s">
        <v>901</v>
      </c>
      <c r="D53" s="11" t="s">
        <v>831</v>
      </c>
      <c r="E53" s="11" t="s">
        <v>832</v>
      </c>
      <c r="F53" s="11" t="s">
        <v>852</v>
      </c>
      <c r="G53" s="11">
        <v>1</v>
      </c>
      <c r="H53" s="11">
        <v>1</v>
      </c>
      <c r="I53" s="11">
        <f t="shared" si="1"/>
        <v>1</v>
      </c>
      <c r="J53" s="11" t="s">
        <v>70</v>
      </c>
      <c r="K53" s="11"/>
    </row>
    <row r="54" spans="1:11" ht="25.5" x14ac:dyDescent="0.45">
      <c r="A54" s="11" t="s">
        <v>895</v>
      </c>
      <c r="B54" s="11" t="s">
        <v>92</v>
      </c>
      <c r="C54" s="11" t="s">
        <v>902</v>
      </c>
      <c r="D54" s="11" t="s">
        <v>831</v>
      </c>
      <c r="E54" s="11" t="s">
        <v>832</v>
      </c>
      <c r="F54" s="11" t="s">
        <v>833</v>
      </c>
      <c r="G54" s="11">
        <v>1</v>
      </c>
      <c r="H54" s="11">
        <v>1</v>
      </c>
      <c r="I54" s="11">
        <f t="shared" si="1"/>
        <v>1</v>
      </c>
      <c r="J54" s="11" t="s">
        <v>70</v>
      </c>
      <c r="K54" s="11"/>
    </row>
    <row r="55" spans="1:11" ht="25.5" x14ac:dyDescent="0.45">
      <c r="A55" s="11" t="s">
        <v>895</v>
      </c>
      <c r="B55" s="11" t="s">
        <v>92</v>
      </c>
      <c r="C55" s="11" t="s">
        <v>903</v>
      </c>
      <c r="D55" s="11" t="s">
        <v>831</v>
      </c>
      <c r="E55" s="11" t="s">
        <v>832</v>
      </c>
      <c r="F55" s="11" t="s">
        <v>833</v>
      </c>
      <c r="G55" s="11">
        <v>1</v>
      </c>
      <c r="H55" s="11">
        <v>1</v>
      </c>
      <c r="I55" s="11">
        <f t="shared" si="1"/>
        <v>1</v>
      </c>
      <c r="J55" s="11" t="s">
        <v>70</v>
      </c>
      <c r="K55" s="11"/>
    </row>
    <row r="56" spans="1:11" ht="25.5" x14ac:dyDescent="0.45">
      <c r="A56" s="11" t="s">
        <v>895</v>
      </c>
      <c r="B56" s="11" t="s">
        <v>92</v>
      </c>
      <c r="C56" s="11" t="s">
        <v>904</v>
      </c>
      <c r="D56" s="11" t="s">
        <v>831</v>
      </c>
      <c r="E56" s="11" t="s">
        <v>847</v>
      </c>
      <c r="F56" s="11" t="s">
        <v>850</v>
      </c>
      <c r="G56" s="11">
        <v>1</v>
      </c>
      <c r="H56" s="11">
        <v>1</v>
      </c>
      <c r="I56" s="11">
        <f t="shared" si="1"/>
        <v>1</v>
      </c>
      <c r="J56" s="11" t="s">
        <v>70</v>
      </c>
      <c r="K56" s="11"/>
    </row>
    <row r="57" spans="1:11" ht="25.5" x14ac:dyDescent="0.45">
      <c r="A57" s="11" t="s">
        <v>895</v>
      </c>
      <c r="B57" s="11" t="s">
        <v>92</v>
      </c>
      <c r="C57" s="11" t="s">
        <v>905</v>
      </c>
      <c r="D57" s="11" t="s">
        <v>831</v>
      </c>
      <c r="E57" s="11" t="s">
        <v>847</v>
      </c>
      <c r="F57" s="11" t="s">
        <v>850</v>
      </c>
      <c r="G57" s="11">
        <v>1</v>
      </c>
      <c r="H57" s="11">
        <v>1</v>
      </c>
      <c r="I57" s="11">
        <f t="shared" si="1"/>
        <v>1</v>
      </c>
      <c r="J57" s="11" t="s">
        <v>70</v>
      </c>
      <c r="K57" s="11"/>
    </row>
    <row r="58" spans="1:11" ht="25.5" x14ac:dyDescent="0.45">
      <c r="A58" s="11" t="s">
        <v>895</v>
      </c>
      <c r="B58" s="11" t="s">
        <v>92</v>
      </c>
      <c r="C58" s="11" t="s">
        <v>906</v>
      </c>
      <c r="D58" s="11" t="s">
        <v>831</v>
      </c>
      <c r="E58" s="11" t="s">
        <v>3</v>
      </c>
      <c r="F58" s="11" t="s">
        <v>70</v>
      </c>
      <c r="G58" s="11">
        <v>1</v>
      </c>
      <c r="H58" s="11">
        <v>1</v>
      </c>
      <c r="I58" s="11">
        <f t="shared" si="1"/>
        <v>1</v>
      </c>
      <c r="J58" s="11" t="s">
        <v>70</v>
      </c>
      <c r="K58" s="11"/>
    </row>
    <row r="59" spans="1:11" ht="25.5" x14ac:dyDescent="0.45">
      <c r="A59" s="11" t="s">
        <v>895</v>
      </c>
      <c r="B59" s="11" t="s">
        <v>92</v>
      </c>
      <c r="C59" s="11" t="s">
        <v>907</v>
      </c>
      <c r="D59" s="11" t="s">
        <v>831</v>
      </c>
      <c r="E59" s="11" t="s">
        <v>3</v>
      </c>
      <c r="F59" s="11" t="s">
        <v>70</v>
      </c>
      <c r="G59" s="11">
        <v>1</v>
      </c>
      <c r="H59" s="11">
        <v>1</v>
      </c>
      <c r="I59" s="11">
        <f t="shared" si="1"/>
        <v>1</v>
      </c>
      <c r="J59" s="11" t="s">
        <v>70</v>
      </c>
      <c r="K59" s="11"/>
    </row>
    <row r="60" spans="1:11" ht="25.5" x14ac:dyDescent="0.45">
      <c r="A60" s="11" t="s">
        <v>895</v>
      </c>
      <c r="B60" s="11" t="s">
        <v>92</v>
      </c>
      <c r="C60" s="11" t="s">
        <v>908</v>
      </c>
      <c r="D60" s="11" t="s">
        <v>831</v>
      </c>
      <c r="E60" s="11" t="s">
        <v>832</v>
      </c>
      <c r="F60" s="11" t="s">
        <v>70</v>
      </c>
      <c r="G60" s="11">
        <v>1</v>
      </c>
      <c r="H60" s="11">
        <v>1</v>
      </c>
      <c r="I60" s="11">
        <f t="shared" si="1"/>
        <v>1</v>
      </c>
      <c r="J60" s="11" t="s">
        <v>70</v>
      </c>
      <c r="K60" s="11"/>
    </row>
    <row r="61" spans="1:11" ht="25.5" x14ac:dyDescent="0.45">
      <c r="A61" s="11" t="s">
        <v>895</v>
      </c>
      <c r="B61" s="11" t="s">
        <v>92</v>
      </c>
      <c r="C61" s="11" t="s">
        <v>909</v>
      </c>
      <c r="D61" s="11" t="s">
        <v>831</v>
      </c>
      <c r="E61" s="11" t="s">
        <v>3</v>
      </c>
      <c r="F61" s="11" t="s">
        <v>70</v>
      </c>
      <c r="G61" s="11">
        <v>1</v>
      </c>
      <c r="H61" s="11">
        <v>1</v>
      </c>
      <c r="I61" s="11">
        <f t="shared" si="1"/>
        <v>1</v>
      </c>
      <c r="J61" s="11" t="s">
        <v>70</v>
      </c>
      <c r="K61" s="11"/>
    </row>
    <row r="62" spans="1:11" ht="25.5" x14ac:dyDescent="0.45">
      <c r="A62" s="11" t="s">
        <v>895</v>
      </c>
      <c r="B62" s="11" t="s">
        <v>92</v>
      </c>
      <c r="C62" s="11" t="s">
        <v>910</v>
      </c>
      <c r="D62" s="11" t="s">
        <v>831</v>
      </c>
      <c r="E62" s="11" t="s">
        <v>3</v>
      </c>
      <c r="F62" s="11" t="s">
        <v>70</v>
      </c>
      <c r="G62" s="11">
        <v>1</v>
      </c>
      <c r="H62" s="11">
        <v>1</v>
      </c>
      <c r="I62" s="11">
        <f t="shared" si="1"/>
        <v>1</v>
      </c>
      <c r="J62" s="11" t="s">
        <v>70</v>
      </c>
      <c r="K62" s="11"/>
    </row>
    <row r="63" spans="1:11" ht="25.5" x14ac:dyDescent="0.45">
      <c r="A63" s="11" t="s">
        <v>895</v>
      </c>
      <c r="B63" s="11" t="s">
        <v>92</v>
      </c>
      <c r="C63" s="11" t="s">
        <v>911</v>
      </c>
      <c r="D63" s="11" t="s">
        <v>831</v>
      </c>
      <c r="E63" s="11" t="s">
        <v>3</v>
      </c>
      <c r="F63" s="11" t="s">
        <v>70</v>
      </c>
      <c r="G63" s="11">
        <v>1</v>
      </c>
      <c r="H63" s="11">
        <v>1</v>
      </c>
      <c r="I63" s="11">
        <f t="shared" si="1"/>
        <v>1</v>
      </c>
      <c r="J63" s="11" t="s">
        <v>70</v>
      </c>
      <c r="K63" s="11"/>
    </row>
    <row r="64" spans="1:11" ht="25.5" x14ac:dyDescent="0.45">
      <c r="A64" s="11" t="s">
        <v>895</v>
      </c>
      <c r="B64" s="11" t="s">
        <v>92</v>
      </c>
      <c r="C64" s="11" t="s">
        <v>912</v>
      </c>
      <c r="D64" s="11" t="s">
        <v>831</v>
      </c>
      <c r="E64" s="11" t="s">
        <v>3</v>
      </c>
      <c r="F64" s="11" t="s">
        <v>70</v>
      </c>
      <c r="G64" s="11">
        <v>1</v>
      </c>
      <c r="H64" s="11">
        <v>1</v>
      </c>
      <c r="I64" s="11">
        <f t="shared" si="1"/>
        <v>1</v>
      </c>
      <c r="J64" s="11" t="s">
        <v>70</v>
      </c>
      <c r="K64" s="11"/>
    </row>
    <row r="65" spans="1:11" ht="25.5" x14ac:dyDescent="0.45">
      <c r="A65" s="11" t="s">
        <v>895</v>
      </c>
      <c r="B65" s="11" t="s">
        <v>92</v>
      </c>
      <c r="C65" s="11" t="s">
        <v>913</v>
      </c>
      <c r="D65" s="11" t="s">
        <v>831</v>
      </c>
      <c r="E65" s="11" t="s">
        <v>3</v>
      </c>
      <c r="F65" s="11" t="s">
        <v>70</v>
      </c>
      <c r="G65" s="11">
        <v>1</v>
      </c>
      <c r="H65" s="11">
        <v>1</v>
      </c>
      <c r="I65" s="11">
        <f t="shared" si="1"/>
        <v>1</v>
      </c>
      <c r="J65" s="11" t="s">
        <v>70</v>
      </c>
      <c r="K65" s="11"/>
    </row>
    <row r="66" spans="1:11" ht="25.5" x14ac:dyDescent="0.45">
      <c r="A66" s="11" t="s">
        <v>895</v>
      </c>
      <c r="B66" s="11" t="s">
        <v>92</v>
      </c>
      <c r="C66" s="11" t="s">
        <v>914</v>
      </c>
      <c r="D66" s="11" t="s">
        <v>831</v>
      </c>
      <c r="E66" s="11" t="s">
        <v>3</v>
      </c>
      <c r="F66" s="11" t="s">
        <v>70</v>
      </c>
      <c r="G66" s="11">
        <v>1</v>
      </c>
      <c r="H66" s="11">
        <v>1</v>
      </c>
      <c r="I66" s="11">
        <f t="shared" ref="I66:I97" si="2">G66*H66</f>
        <v>1</v>
      </c>
      <c r="J66" s="11" t="s">
        <v>70</v>
      </c>
      <c r="K66" s="11"/>
    </row>
    <row r="67" spans="1:11" x14ac:dyDescent="0.45">
      <c r="A67" s="11" t="s">
        <v>915</v>
      </c>
      <c r="B67" s="11" t="s">
        <v>916</v>
      </c>
      <c r="C67" s="11" t="s">
        <v>917</v>
      </c>
      <c r="D67" s="11" t="s">
        <v>831</v>
      </c>
      <c r="E67" s="11" t="s">
        <v>832</v>
      </c>
      <c r="F67" s="11" t="s">
        <v>837</v>
      </c>
      <c r="G67" s="11">
        <v>2</v>
      </c>
      <c r="H67" s="11">
        <v>3</v>
      </c>
      <c r="I67" s="11">
        <f t="shared" si="2"/>
        <v>6</v>
      </c>
      <c r="J67" s="11" t="s">
        <v>70</v>
      </c>
      <c r="K67" s="11"/>
    </row>
    <row r="68" spans="1:11" x14ac:dyDescent="0.45">
      <c r="A68" s="11" t="s">
        <v>915</v>
      </c>
      <c r="B68" s="11" t="s">
        <v>916</v>
      </c>
      <c r="C68" s="11" t="s">
        <v>918</v>
      </c>
      <c r="D68" s="11" t="s">
        <v>831</v>
      </c>
      <c r="E68" s="11" t="s">
        <v>832</v>
      </c>
      <c r="F68" s="11" t="s">
        <v>839</v>
      </c>
      <c r="G68" s="11">
        <v>2</v>
      </c>
      <c r="H68" s="11">
        <v>3</v>
      </c>
      <c r="I68" s="11">
        <f t="shared" si="2"/>
        <v>6</v>
      </c>
      <c r="J68" s="11" t="s">
        <v>70</v>
      </c>
      <c r="K68" s="11"/>
    </row>
    <row r="69" spans="1:11" x14ac:dyDescent="0.45">
      <c r="A69" s="11" t="s">
        <v>915</v>
      </c>
      <c r="B69" s="11" t="s">
        <v>916</v>
      </c>
      <c r="C69" s="11" t="s">
        <v>830</v>
      </c>
      <c r="D69" s="11" t="s">
        <v>831</v>
      </c>
      <c r="E69" s="11" t="s">
        <v>832</v>
      </c>
      <c r="F69" s="11" t="s">
        <v>833</v>
      </c>
      <c r="G69" s="11">
        <v>2</v>
      </c>
      <c r="H69" s="11">
        <v>1</v>
      </c>
      <c r="I69" s="11">
        <f t="shared" si="2"/>
        <v>2</v>
      </c>
      <c r="J69" s="11" t="s">
        <v>70</v>
      </c>
      <c r="K69" s="11"/>
    </row>
    <row r="70" spans="1:11" x14ac:dyDescent="0.45">
      <c r="A70" s="11" t="s">
        <v>915</v>
      </c>
      <c r="B70" s="11" t="s">
        <v>916</v>
      </c>
      <c r="C70" s="11" t="s">
        <v>834</v>
      </c>
      <c r="D70" s="11" t="s">
        <v>831</v>
      </c>
      <c r="E70" s="11" t="s">
        <v>832</v>
      </c>
      <c r="F70" s="11" t="s">
        <v>835</v>
      </c>
      <c r="G70" s="11">
        <v>2</v>
      </c>
      <c r="H70" s="11">
        <v>1</v>
      </c>
      <c r="I70" s="11">
        <f t="shared" si="2"/>
        <v>2</v>
      </c>
      <c r="J70" s="11" t="s">
        <v>70</v>
      </c>
      <c r="K70" s="11"/>
    </row>
    <row r="71" spans="1:11" x14ac:dyDescent="0.45">
      <c r="A71" s="11" t="s">
        <v>915</v>
      </c>
      <c r="B71" s="11" t="s">
        <v>916</v>
      </c>
      <c r="C71" s="11" t="s">
        <v>842</v>
      </c>
      <c r="D71" s="11" t="s">
        <v>831</v>
      </c>
      <c r="E71" s="11" t="s">
        <v>832</v>
      </c>
      <c r="F71" s="11" t="s">
        <v>70</v>
      </c>
      <c r="G71" s="11">
        <v>2</v>
      </c>
      <c r="H71" s="11">
        <v>1</v>
      </c>
      <c r="I71" s="11">
        <f t="shared" si="2"/>
        <v>2</v>
      </c>
      <c r="J71" s="11" t="s">
        <v>70</v>
      </c>
      <c r="K71" s="11"/>
    </row>
    <row r="72" spans="1:11" x14ac:dyDescent="0.45">
      <c r="A72" s="11" t="s">
        <v>915</v>
      </c>
      <c r="B72" s="11" t="s">
        <v>916</v>
      </c>
      <c r="C72" s="11" t="s">
        <v>840</v>
      </c>
      <c r="D72" s="11" t="s">
        <v>831</v>
      </c>
      <c r="E72" s="11" t="s">
        <v>832</v>
      </c>
      <c r="F72" s="11" t="s">
        <v>841</v>
      </c>
      <c r="G72" s="11">
        <v>2</v>
      </c>
      <c r="H72" s="11">
        <v>1</v>
      </c>
      <c r="I72" s="11">
        <f t="shared" si="2"/>
        <v>2</v>
      </c>
      <c r="J72" s="11" t="s">
        <v>70</v>
      </c>
      <c r="K72" s="11"/>
    </row>
    <row r="73" spans="1:11" x14ac:dyDescent="0.45">
      <c r="A73" s="11" t="s">
        <v>915</v>
      </c>
      <c r="B73" s="11" t="s">
        <v>916</v>
      </c>
      <c r="C73" s="11" t="s">
        <v>919</v>
      </c>
      <c r="D73" s="11" t="s">
        <v>831</v>
      </c>
      <c r="E73" s="11" t="s">
        <v>832</v>
      </c>
      <c r="F73" s="11" t="s">
        <v>920</v>
      </c>
      <c r="G73" s="11">
        <v>2</v>
      </c>
      <c r="H73" s="11">
        <v>1</v>
      </c>
      <c r="I73" s="11">
        <f t="shared" si="2"/>
        <v>2</v>
      </c>
      <c r="J73" s="11" t="s">
        <v>70</v>
      </c>
      <c r="K73" s="11"/>
    </row>
    <row r="74" spans="1:11" x14ac:dyDescent="0.45">
      <c r="A74" s="11" t="s">
        <v>915</v>
      </c>
      <c r="B74" s="11" t="s">
        <v>916</v>
      </c>
      <c r="C74" s="11" t="s">
        <v>921</v>
      </c>
      <c r="D74" s="11" t="s">
        <v>831</v>
      </c>
      <c r="E74" s="11" t="s">
        <v>832</v>
      </c>
      <c r="F74" s="11" t="s">
        <v>852</v>
      </c>
      <c r="G74" s="11">
        <v>2</v>
      </c>
      <c r="H74" s="11">
        <v>1</v>
      </c>
      <c r="I74" s="11">
        <f t="shared" si="2"/>
        <v>2</v>
      </c>
      <c r="J74" s="11" t="s">
        <v>70</v>
      </c>
      <c r="K74" s="11"/>
    </row>
    <row r="75" spans="1:11" x14ac:dyDescent="0.45">
      <c r="A75" s="11" t="s">
        <v>915</v>
      </c>
      <c r="B75" s="11" t="s">
        <v>916</v>
      </c>
      <c r="C75" s="11" t="s">
        <v>922</v>
      </c>
      <c r="D75" s="11" t="s">
        <v>831</v>
      </c>
      <c r="E75" s="11" t="s">
        <v>832</v>
      </c>
      <c r="F75" s="11" t="s">
        <v>837</v>
      </c>
      <c r="G75" s="11">
        <v>2</v>
      </c>
      <c r="H75" s="11">
        <v>1</v>
      </c>
      <c r="I75" s="11">
        <f t="shared" si="2"/>
        <v>2</v>
      </c>
      <c r="J75" s="11" t="s">
        <v>70</v>
      </c>
      <c r="K75" s="11"/>
    </row>
    <row r="76" spans="1:11" x14ac:dyDescent="0.45">
      <c r="A76" s="11" t="s">
        <v>915</v>
      </c>
      <c r="B76" s="11" t="s">
        <v>916</v>
      </c>
      <c r="C76" s="11" t="s">
        <v>923</v>
      </c>
      <c r="D76" s="11" t="s">
        <v>831</v>
      </c>
      <c r="E76" s="11" t="s">
        <v>832</v>
      </c>
      <c r="F76" s="11" t="s">
        <v>862</v>
      </c>
      <c r="G76" s="11">
        <v>2</v>
      </c>
      <c r="H76" s="11">
        <v>1</v>
      </c>
      <c r="I76" s="11">
        <f t="shared" si="2"/>
        <v>2</v>
      </c>
      <c r="J76" s="11" t="s">
        <v>70</v>
      </c>
      <c r="K76" s="11"/>
    </row>
    <row r="77" spans="1:11" x14ac:dyDescent="0.45">
      <c r="A77" s="11" t="s">
        <v>915</v>
      </c>
      <c r="B77" s="11" t="s">
        <v>916</v>
      </c>
      <c r="C77" s="11" t="s">
        <v>924</v>
      </c>
      <c r="D77" s="11" t="s">
        <v>831</v>
      </c>
      <c r="E77" s="11" t="s">
        <v>847</v>
      </c>
      <c r="F77" s="11" t="s">
        <v>925</v>
      </c>
      <c r="G77" s="11">
        <v>2</v>
      </c>
      <c r="H77" s="11">
        <v>1</v>
      </c>
      <c r="I77" s="11">
        <f t="shared" si="2"/>
        <v>2</v>
      </c>
      <c r="J77" s="11" t="s">
        <v>70</v>
      </c>
      <c r="K77" s="11"/>
    </row>
    <row r="78" spans="1:11" x14ac:dyDescent="0.45">
      <c r="A78" s="11" t="s">
        <v>915</v>
      </c>
      <c r="B78" s="11" t="s">
        <v>916</v>
      </c>
      <c r="C78" s="11" t="s">
        <v>926</v>
      </c>
      <c r="D78" s="11" t="s">
        <v>831</v>
      </c>
      <c r="E78" s="11" t="s">
        <v>847</v>
      </c>
      <c r="F78" s="11" t="s">
        <v>70</v>
      </c>
      <c r="G78" s="11">
        <v>2</v>
      </c>
      <c r="H78" s="11">
        <v>1</v>
      </c>
      <c r="I78" s="11">
        <f t="shared" si="2"/>
        <v>2</v>
      </c>
      <c r="J78" s="11" t="s">
        <v>70</v>
      </c>
      <c r="K78" s="11"/>
    </row>
    <row r="79" spans="1:11" x14ac:dyDescent="0.45">
      <c r="A79" s="11" t="s">
        <v>915</v>
      </c>
      <c r="B79" s="11" t="s">
        <v>916</v>
      </c>
      <c r="C79" s="11" t="s">
        <v>849</v>
      </c>
      <c r="D79" s="11" t="s">
        <v>831</v>
      </c>
      <c r="E79" s="11" t="s">
        <v>847</v>
      </c>
      <c r="F79" s="11" t="s">
        <v>850</v>
      </c>
      <c r="G79" s="11">
        <v>2</v>
      </c>
      <c r="H79" s="11">
        <v>1</v>
      </c>
      <c r="I79" s="11">
        <f t="shared" si="2"/>
        <v>2</v>
      </c>
      <c r="J79" s="11" t="s">
        <v>70</v>
      </c>
      <c r="K79" s="11"/>
    </row>
    <row r="80" spans="1:11" x14ac:dyDescent="0.45">
      <c r="A80" s="11" t="s">
        <v>915</v>
      </c>
      <c r="B80" s="11" t="s">
        <v>916</v>
      </c>
      <c r="C80" s="11" t="s">
        <v>927</v>
      </c>
      <c r="D80" s="11" t="s">
        <v>831</v>
      </c>
      <c r="E80" s="11" t="s">
        <v>3</v>
      </c>
      <c r="F80" s="11" t="s">
        <v>70</v>
      </c>
      <c r="G80" s="11">
        <v>2</v>
      </c>
      <c r="H80" s="11">
        <v>1</v>
      </c>
      <c r="I80" s="11">
        <f t="shared" si="2"/>
        <v>2</v>
      </c>
      <c r="J80" s="11" t="s">
        <v>70</v>
      </c>
      <c r="K80" s="11"/>
    </row>
    <row r="81" spans="1:11" x14ac:dyDescent="0.45">
      <c r="A81" s="11" t="s">
        <v>915</v>
      </c>
      <c r="B81" s="11" t="s">
        <v>916</v>
      </c>
      <c r="C81" s="11" t="s">
        <v>928</v>
      </c>
      <c r="D81" s="11" t="s">
        <v>831</v>
      </c>
      <c r="E81" s="11" t="s">
        <v>3</v>
      </c>
      <c r="F81" s="11" t="s">
        <v>70</v>
      </c>
      <c r="G81" s="11">
        <v>2</v>
      </c>
      <c r="H81" s="11">
        <v>1</v>
      </c>
      <c r="I81" s="11">
        <f t="shared" si="2"/>
        <v>2</v>
      </c>
      <c r="J81" s="11" t="s">
        <v>70</v>
      </c>
      <c r="K81" s="11"/>
    </row>
    <row r="82" spans="1:11" x14ac:dyDescent="0.45">
      <c r="A82" s="11" t="s">
        <v>915</v>
      </c>
      <c r="B82" s="11" t="s">
        <v>916</v>
      </c>
      <c r="C82" s="11" t="s">
        <v>929</v>
      </c>
      <c r="D82" s="11" t="s">
        <v>831</v>
      </c>
      <c r="E82" s="11" t="s">
        <v>3</v>
      </c>
      <c r="F82" s="11" t="s">
        <v>70</v>
      </c>
      <c r="G82" s="11">
        <v>2</v>
      </c>
      <c r="H82" s="11">
        <v>1</v>
      </c>
      <c r="I82" s="11">
        <f t="shared" si="2"/>
        <v>2</v>
      </c>
      <c r="J82" s="11" t="s">
        <v>70</v>
      </c>
      <c r="K82" s="11"/>
    </row>
    <row r="83" spans="1:11" x14ac:dyDescent="0.45">
      <c r="A83" s="11" t="s">
        <v>915</v>
      </c>
      <c r="B83" s="11" t="s">
        <v>916</v>
      </c>
      <c r="C83" s="11" t="s">
        <v>930</v>
      </c>
      <c r="D83" s="11" t="s">
        <v>831</v>
      </c>
      <c r="E83" s="11" t="s">
        <v>3</v>
      </c>
      <c r="F83" s="11" t="s">
        <v>70</v>
      </c>
      <c r="G83" s="11">
        <v>2</v>
      </c>
      <c r="H83" s="11">
        <v>1</v>
      </c>
      <c r="I83" s="11">
        <f t="shared" si="2"/>
        <v>2</v>
      </c>
      <c r="J83" s="11" t="s">
        <v>70</v>
      </c>
      <c r="K83" s="11"/>
    </row>
    <row r="84" spans="1:11" x14ac:dyDescent="0.45">
      <c r="A84" s="11" t="s">
        <v>915</v>
      </c>
      <c r="B84" s="11" t="s">
        <v>916</v>
      </c>
      <c r="C84" s="11" t="s">
        <v>931</v>
      </c>
      <c r="D84" s="11" t="s">
        <v>860</v>
      </c>
      <c r="E84" s="11" t="s">
        <v>866</v>
      </c>
      <c r="F84" s="11" t="s">
        <v>70</v>
      </c>
      <c r="G84" s="11">
        <v>2</v>
      </c>
      <c r="H84" s="11">
        <v>1</v>
      </c>
      <c r="I84" s="11">
        <f t="shared" si="2"/>
        <v>2</v>
      </c>
      <c r="J84" s="11" t="s">
        <v>474</v>
      </c>
      <c r="K84" s="11" t="s">
        <v>932</v>
      </c>
    </row>
    <row r="85" spans="1:11" x14ac:dyDescent="0.45">
      <c r="A85" s="11" t="s">
        <v>915</v>
      </c>
      <c r="B85" s="11" t="s">
        <v>916</v>
      </c>
      <c r="C85" s="11" t="s">
        <v>933</v>
      </c>
      <c r="D85" s="11" t="s">
        <v>860</v>
      </c>
      <c r="E85" s="11" t="s">
        <v>866</v>
      </c>
      <c r="F85" s="11" t="s">
        <v>70</v>
      </c>
      <c r="G85" s="11">
        <v>2</v>
      </c>
      <c r="H85" s="11">
        <v>1</v>
      </c>
      <c r="I85" s="11">
        <f t="shared" si="2"/>
        <v>2</v>
      </c>
      <c r="J85" s="11" t="s">
        <v>474</v>
      </c>
      <c r="K85" s="11" t="s">
        <v>932</v>
      </c>
    </row>
    <row r="86" spans="1:11" x14ac:dyDescent="0.45">
      <c r="A86" s="11" t="s">
        <v>915</v>
      </c>
      <c r="B86" s="11" t="s">
        <v>916</v>
      </c>
      <c r="C86" s="11" t="s">
        <v>934</v>
      </c>
      <c r="D86" s="11" t="s">
        <v>860</v>
      </c>
      <c r="E86" s="11" t="s">
        <v>866</v>
      </c>
      <c r="F86" s="11" t="s">
        <v>70</v>
      </c>
      <c r="G86" s="11">
        <v>2</v>
      </c>
      <c r="H86" s="11">
        <v>1</v>
      </c>
      <c r="I86" s="11">
        <f t="shared" si="2"/>
        <v>2</v>
      </c>
      <c r="J86" s="11" t="s">
        <v>863</v>
      </c>
      <c r="K86" s="11"/>
    </row>
    <row r="87" spans="1:11" x14ac:dyDescent="0.45">
      <c r="A87" s="11" t="s">
        <v>935</v>
      </c>
      <c r="B87" s="11" t="s">
        <v>936</v>
      </c>
      <c r="C87" s="11" t="s">
        <v>937</v>
      </c>
      <c r="D87" s="11" t="s">
        <v>831</v>
      </c>
      <c r="E87" s="11" t="s">
        <v>832</v>
      </c>
      <c r="F87" s="11" t="s">
        <v>839</v>
      </c>
      <c r="G87" s="11">
        <v>7</v>
      </c>
      <c r="H87" s="11">
        <v>3</v>
      </c>
      <c r="I87" s="11">
        <f t="shared" si="2"/>
        <v>21</v>
      </c>
      <c r="J87" s="11" t="s">
        <v>70</v>
      </c>
      <c r="K87" s="11"/>
    </row>
    <row r="88" spans="1:11" x14ac:dyDescent="0.45">
      <c r="A88" s="11" t="s">
        <v>935</v>
      </c>
      <c r="B88" s="11" t="s">
        <v>936</v>
      </c>
      <c r="C88" s="11" t="s">
        <v>938</v>
      </c>
      <c r="D88" s="11" t="s">
        <v>831</v>
      </c>
      <c r="E88" s="11" t="s">
        <v>832</v>
      </c>
      <c r="F88" s="11" t="s">
        <v>839</v>
      </c>
      <c r="G88" s="11">
        <v>7</v>
      </c>
      <c r="H88" s="11">
        <v>1</v>
      </c>
      <c r="I88" s="11">
        <f t="shared" si="2"/>
        <v>7</v>
      </c>
      <c r="J88" s="11" t="s">
        <v>70</v>
      </c>
      <c r="K88" s="11"/>
    </row>
    <row r="89" spans="1:11" x14ac:dyDescent="0.45">
      <c r="A89" s="11" t="s">
        <v>935</v>
      </c>
      <c r="B89" s="11" t="s">
        <v>936</v>
      </c>
      <c r="C89" s="11" t="s">
        <v>917</v>
      </c>
      <c r="D89" s="11" t="s">
        <v>831</v>
      </c>
      <c r="E89" s="11" t="s">
        <v>832</v>
      </c>
      <c r="F89" s="11" t="s">
        <v>875</v>
      </c>
      <c r="G89" s="11">
        <v>7</v>
      </c>
      <c r="H89" s="11">
        <v>3</v>
      </c>
      <c r="I89" s="11">
        <f t="shared" si="2"/>
        <v>21</v>
      </c>
      <c r="J89" s="11" t="s">
        <v>70</v>
      </c>
      <c r="K89" s="11"/>
    </row>
    <row r="90" spans="1:11" x14ac:dyDescent="0.45">
      <c r="A90" s="11" t="s">
        <v>935</v>
      </c>
      <c r="B90" s="11" t="s">
        <v>936</v>
      </c>
      <c r="C90" s="11" t="s">
        <v>830</v>
      </c>
      <c r="D90" s="11" t="s">
        <v>831</v>
      </c>
      <c r="E90" s="11" t="s">
        <v>832</v>
      </c>
      <c r="F90" s="11" t="s">
        <v>833</v>
      </c>
      <c r="G90" s="11">
        <v>7</v>
      </c>
      <c r="H90" s="11">
        <v>1</v>
      </c>
      <c r="I90" s="11">
        <f t="shared" si="2"/>
        <v>7</v>
      </c>
      <c r="J90" s="11" t="s">
        <v>70</v>
      </c>
      <c r="K90" s="11"/>
    </row>
    <row r="91" spans="1:11" x14ac:dyDescent="0.45">
      <c r="A91" s="11" t="s">
        <v>935</v>
      </c>
      <c r="B91" s="11" t="s">
        <v>936</v>
      </c>
      <c r="C91" s="11" t="s">
        <v>834</v>
      </c>
      <c r="D91" s="11" t="s">
        <v>831</v>
      </c>
      <c r="E91" s="11" t="s">
        <v>832</v>
      </c>
      <c r="F91" s="11" t="s">
        <v>835</v>
      </c>
      <c r="G91" s="11">
        <v>7</v>
      </c>
      <c r="H91" s="11">
        <v>1</v>
      </c>
      <c r="I91" s="11">
        <f t="shared" si="2"/>
        <v>7</v>
      </c>
      <c r="J91" s="11" t="s">
        <v>70</v>
      </c>
      <c r="K91" s="11"/>
    </row>
    <row r="92" spans="1:11" x14ac:dyDescent="0.45">
      <c r="A92" s="11" t="s">
        <v>935</v>
      </c>
      <c r="B92" s="11" t="s">
        <v>936</v>
      </c>
      <c r="C92" s="11" t="s">
        <v>842</v>
      </c>
      <c r="D92" s="11" t="s">
        <v>831</v>
      </c>
      <c r="E92" s="11" t="s">
        <v>832</v>
      </c>
      <c r="F92" s="11" t="s">
        <v>70</v>
      </c>
      <c r="G92" s="11">
        <v>7</v>
      </c>
      <c r="H92" s="11">
        <v>1</v>
      </c>
      <c r="I92" s="11">
        <f t="shared" si="2"/>
        <v>7</v>
      </c>
      <c r="J92" s="11" t="s">
        <v>70</v>
      </c>
      <c r="K92" s="11"/>
    </row>
    <row r="93" spans="1:11" x14ac:dyDescent="0.45">
      <c r="A93" s="11" t="s">
        <v>935</v>
      </c>
      <c r="B93" s="11" t="s">
        <v>936</v>
      </c>
      <c r="C93" s="11" t="s">
        <v>840</v>
      </c>
      <c r="D93" s="11" t="s">
        <v>831</v>
      </c>
      <c r="E93" s="11" t="s">
        <v>832</v>
      </c>
      <c r="F93" s="11" t="s">
        <v>841</v>
      </c>
      <c r="G93" s="11">
        <v>7</v>
      </c>
      <c r="H93" s="11">
        <v>1</v>
      </c>
      <c r="I93" s="11">
        <f t="shared" si="2"/>
        <v>7</v>
      </c>
      <c r="J93" s="11" t="s">
        <v>70</v>
      </c>
      <c r="K93" s="11"/>
    </row>
    <row r="94" spans="1:11" x14ac:dyDescent="0.45">
      <c r="A94" s="11" t="s">
        <v>935</v>
      </c>
      <c r="B94" s="11" t="s">
        <v>936</v>
      </c>
      <c r="C94" s="11" t="s">
        <v>939</v>
      </c>
      <c r="D94" s="11" t="s">
        <v>831</v>
      </c>
      <c r="E94" s="11" t="s">
        <v>847</v>
      </c>
      <c r="F94" s="11" t="s">
        <v>850</v>
      </c>
      <c r="G94" s="11">
        <v>7</v>
      </c>
      <c r="H94" s="11">
        <v>1</v>
      </c>
      <c r="I94" s="11">
        <f t="shared" si="2"/>
        <v>7</v>
      </c>
      <c r="J94" s="11" t="s">
        <v>70</v>
      </c>
      <c r="K94" s="11"/>
    </row>
    <row r="95" spans="1:11" x14ac:dyDescent="0.45">
      <c r="A95" s="11" t="s">
        <v>935</v>
      </c>
      <c r="B95" s="11" t="s">
        <v>936</v>
      </c>
      <c r="C95" s="11" t="s">
        <v>940</v>
      </c>
      <c r="D95" s="11" t="s">
        <v>831</v>
      </c>
      <c r="E95" s="11" t="s">
        <v>847</v>
      </c>
      <c r="F95" s="11" t="s">
        <v>850</v>
      </c>
      <c r="G95" s="11">
        <v>7</v>
      </c>
      <c r="H95" s="11">
        <v>1</v>
      </c>
      <c r="I95" s="11">
        <f t="shared" si="2"/>
        <v>7</v>
      </c>
      <c r="J95" s="11" t="s">
        <v>70</v>
      </c>
      <c r="K95" s="11"/>
    </row>
    <row r="96" spans="1:11" x14ac:dyDescent="0.45">
      <c r="A96" s="11" t="s">
        <v>935</v>
      </c>
      <c r="B96" s="11" t="s">
        <v>936</v>
      </c>
      <c r="C96" s="11" t="s">
        <v>941</v>
      </c>
      <c r="D96" s="11" t="s">
        <v>831</v>
      </c>
      <c r="E96" s="11" t="s">
        <v>942</v>
      </c>
      <c r="F96" s="11" t="s">
        <v>70</v>
      </c>
      <c r="G96" s="11">
        <v>7</v>
      </c>
      <c r="H96" s="11">
        <v>1</v>
      </c>
      <c r="I96" s="11">
        <f t="shared" si="2"/>
        <v>7</v>
      </c>
      <c r="J96" s="11" t="s">
        <v>70</v>
      </c>
      <c r="K96" s="11"/>
    </row>
    <row r="97" spans="1:11" x14ac:dyDescent="0.45">
      <c r="A97" s="11" t="s">
        <v>935</v>
      </c>
      <c r="B97" s="11" t="s">
        <v>936</v>
      </c>
      <c r="C97" s="11" t="s">
        <v>943</v>
      </c>
      <c r="D97" s="11" t="s">
        <v>831</v>
      </c>
      <c r="E97" s="11" t="s">
        <v>944</v>
      </c>
      <c r="F97" s="11" t="s">
        <v>70</v>
      </c>
      <c r="G97" s="11">
        <v>7</v>
      </c>
      <c r="H97" s="11">
        <v>1</v>
      </c>
      <c r="I97" s="11">
        <f t="shared" si="2"/>
        <v>7</v>
      </c>
      <c r="J97" s="11" t="s">
        <v>70</v>
      </c>
      <c r="K97" s="11"/>
    </row>
    <row r="98" spans="1:11" x14ac:dyDescent="0.45">
      <c r="A98" s="11" t="s">
        <v>935</v>
      </c>
      <c r="B98" s="11" t="s">
        <v>936</v>
      </c>
      <c r="C98" s="11" t="s">
        <v>945</v>
      </c>
      <c r="D98" s="11" t="s">
        <v>831</v>
      </c>
      <c r="E98" s="11" t="s">
        <v>944</v>
      </c>
      <c r="F98" s="11" t="s">
        <v>70</v>
      </c>
      <c r="G98" s="11">
        <v>7</v>
      </c>
      <c r="H98" s="11">
        <v>1</v>
      </c>
      <c r="I98" s="11">
        <f t="shared" ref="I98:I129" si="3">G98*H98</f>
        <v>7</v>
      </c>
      <c r="J98" s="11" t="s">
        <v>70</v>
      </c>
      <c r="K98" s="11"/>
    </row>
    <row r="99" spans="1:11" x14ac:dyDescent="0.45">
      <c r="A99" s="11" t="s">
        <v>935</v>
      </c>
      <c r="B99" s="11" t="s">
        <v>936</v>
      </c>
      <c r="C99" s="11" t="s">
        <v>946</v>
      </c>
      <c r="D99" s="11" t="s">
        <v>831</v>
      </c>
      <c r="E99" s="11" t="s">
        <v>944</v>
      </c>
      <c r="F99" s="11" t="s">
        <v>70</v>
      </c>
      <c r="G99" s="11">
        <v>7</v>
      </c>
      <c r="H99" s="11">
        <v>1</v>
      </c>
      <c r="I99" s="11">
        <f t="shared" si="3"/>
        <v>7</v>
      </c>
      <c r="J99" s="11" t="s">
        <v>70</v>
      </c>
      <c r="K99" s="11"/>
    </row>
    <row r="100" spans="1:11" x14ac:dyDescent="0.45">
      <c r="A100" s="11" t="s">
        <v>935</v>
      </c>
      <c r="B100" s="11" t="s">
        <v>936</v>
      </c>
      <c r="C100" s="11" t="s">
        <v>947</v>
      </c>
      <c r="D100" s="11" t="s">
        <v>831</v>
      </c>
      <c r="E100" s="11" t="s">
        <v>944</v>
      </c>
      <c r="F100" s="11" t="s">
        <v>70</v>
      </c>
      <c r="G100" s="11">
        <v>7</v>
      </c>
      <c r="H100" s="11">
        <v>1</v>
      </c>
      <c r="I100" s="11">
        <f t="shared" si="3"/>
        <v>7</v>
      </c>
      <c r="J100" s="11" t="s">
        <v>70</v>
      </c>
      <c r="K100" s="11"/>
    </row>
    <row r="101" spans="1:11" x14ac:dyDescent="0.45">
      <c r="A101" s="11" t="s">
        <v>935</v>
      </c>
      <c r="B101" s="11" t="s">
        <v>936</v>
      </c>
      <c r="C101" s="11" t="s">
        <v>948</v>
      </c>
      <c r="D101" s="11" t="s">
        <v>831</v>
      </c>
      <c r="E101" s="11" t="s">
        <v>3</v>
      </c>
      <c r="F101" s="11" t="s">
        <v>70</v>
      </c>
      <c r="G101" s="11">
        <v>7</v>
      </c>
      <c r="H101" s="11">
        <v>1</v>
      </c>
      <c r="I101" s="11">
        <f t="shared" si="3"/>
        <v>7</v>
      </c>
      <c r="J101" s="11" t="s">
        <v>70</v>
      </c>
      <c r="K101" s="11"/>
    </row>
    <row r="102" spans="1:11" x14ac:dyDescent="0.45">
      <c r="A102" s="11" t="s">
        <v>935</v>
      </c>
      <c r="B102" s="11" t="s">
        <v>936</v>
      </c>
      <c r="C102" s="11" t="s">
        <v>949</v>
      </c>
      <c r="D102" s="11" t="s">
        <v>831</v>
      </c>
      <c r="E102" s="11" t="s">
        <v>3</v>
      </c>
      <c r="F102" s="11" t="s">
        <v>70</v>
      </c>
      <c r="G102" s="11">
        <v>7</v>
      </c>
      <c r="H102" s="11">
        <v>1</v>
      </c>
      <c r="I102" s="11">
        <f t="shared" si="3"/>
        <v>7</v>
      </c>
      <c r="J102" s="11" t="s">
        <v>70</v>
      </c>
      <c r="K102" s="11"/>
    </row>
    <row r="103" spans="1:11" x14ac:dyDescent="0.45">
      <c r="A103" s="11" t="s">
        <v>950</v>
      </c>
      <c r="B103" s="11" t="s">
        <v>951</v>
      </c>
      <c r="C103" s="11" t="s">
        <v>937</v>
      </c>
      <c r="D103" s="11" t="s">
        <v>831</v>
      </c>
      <c r="E103" s="11" t="s">
        <v>832</v>
      </c>
      <c r="F103" s="11" t="s">
        <v>839</v>
      </c>
      <c r="G103" s="11">
        <v>2</v>
      </c>
      <c r="H103" s="11">
        <v>3</v>
      </c>
      <c r="I103" s="11">
        <f t="shared" si="3"/>
        <v>6</v>
      </c>
      <c r="J103" s="11" t="s">
        <v>70</v>
      </c>
      <c r="K103" s="11"/>
    </row>
    <row r="104" spans="1:11" x14ac:dyDescent="0.45">
      <c r="A104" s="11" t="s">
        <v>950</v>
      </c>
      <c r="B104" s="11" t="s">
        <v>951</v>
      </c>
      <c r="C104" s="11" t="s">
        <v>938</v>
      </c>
      <c r="D104" s="11" t="s">
        <v>831</v>
      </c>
      <c r="E104" s="11" t="s">
        <v>832</v>
      </c>
      <c r="F104" s="11" t="s">
        <v>839</v>
      </c>
      <c r="G104" s="11">
        <v>2</v>
      </c>
      <c r="H104" s="11">
        <v>1</v>
      </c>
      <c r="I104" s="11">
        <f t="shared" si="3"/>
        <v>2</v>
      </c>
      <c r="J104" s="11" t="s">
        <v>70</v>
      </c>
      <c r="K104" s="11"/>
    </row>
    <row r="105" spans="1:11" x14ac:dyDescent="0.45">
      <c r="A105" s="11" t="s">
        <v>950</v>
      </c>
      <c r="B105" s="11" t="s">
        <v>951</v>
      </c>
      <c r="C105" s="11" t="s">
        <v>941</v>
      </c>
      <c r="D105" s="11" t="s">
        <v>831</v>
      </c>
      <c r="E105" s="11" t="s">
        <v>942</v>
      </c>
      <c r="F105" s="11" t="s">
        <v>70</v>
      </c>
      <c r="G105" s="11">
        <v>2</v>
      </c>
      <c r="H105" s="11">
        <v>1</v>
      </c>
      <c r="I105" s="11">
        <f t="shared" si="3"/>
        <v>2</v>
      </c>
      <c r="J105" s="11" t="s">
        <v>70</v>
      </c>
      <c r="K105" s="11"/>
    </row>
    <row r="106" spans="1:11" x14ac:dyDescent="0.45">
      <c r="A106" s="11" t="s">
        <v>950</v>
      </c>
      <c r="B106" s="11" t="s">
        <v>951</v>
      </c>
      <c r="C106" s="11" t="s">
        <v>952</v>
      </c>
      <c r="D106" s="11" t="s">
        <v>831</v>
      </c>
      <c r="E106" s="11" t="s">
        <v>944</v>
      </c>
      <c r="F106" s="11" t="s">
        <v>70</v>
      </c>
      <c r="G106" s="11">
        <v>2</v>
      </c>
      <c r="H106" s="11">
        <v>1</v>
      </c>
      <c r="I106" s="11">
        <f t="shared" si="3"/>
        <v>2</v>
      </c>
      <c r="J106" s="11" t="s">
        <v>70</v>
      </c>
      <c r="K106" s="11"/>
    </row>
    <row r="107" spans="1:11" x14ac:dyDescent="0.45">
      <c r="A107" s="11" t="s">
        <v>950</v>
      </c>
      <c r="B107" s="11" t="s">
        <v>951</v>
      </c>
      <c r="C107" s="11" t="s">
        <v>953</v>
      </c>
      <c r="D107" s="11" t="s">
        <v>831</v>
      </c>
      <c r="E107" s="11" t="s">
        <v>944</v>
      </c>
      <c r="F107" s="11" t="s">
        <v>70</v>
      </c>
      <c r="G107" s="11">
        <v>2</v>
      </c>
      <c r="H107" s="11">
        <v>1</v>
      </c>
      <c r="I107" s="11">
        <f t="shared" si="3"/>
        <v>2</v>
      </c>
      <c r="J107" s="11" t="s">
        <v>70</v>
      </c>
      <c r="K107" s="11"/>
    </row>
    <row r="108" spans="1:11" x14ac:dyDescent="0.45">
      <c r="A108" s="11" t="s">
        <v>950</v>
      </c>
      <c r="B108" s="11" t="s">
        <v>951</v>
      </c>
      <c r="C108" s="11" t="s">
        <v>948</v>
      </c>
      <c r="D108" s="11" t="s">
        <v>831</v>
      </c>
      <c r="E108" s="11" t="s">
        <v>3</v>
      </c>
      <c r="F108" s="11" t="s">
        <v>70</v>
      </c>
      <c r="G108" s="11">
        <v>2</v>
      </c>
      <c r="H108" s="11">
        <v>1</v>
      </c>
      <c r="I108" s="11">
        <f t="shared" si="3"/>
        <v>2</v>
      </c>
      <c r="J108" s="11" t="s">
        <v>70</v>
      </c>
      <c r="K108" s="11"/>
    </row>
    <row r="109" spans="1:11" x14ac:dyDescent="0.45">
      <c r="A109" s="11" t="s">
        <v>954</v>
      </c>
      <c r="B109" s="11" t="s">
        <v>81</v>
      </c>
      <c r="C109" s="11" t="s">
        <v>955</v>
      </c>
      <c r="D109" s="11" t="s">
        <v>831</v>
      </c>
      <c r="E109" s="11" t="s">
        <v>832</v>
      </c>
      <c r="F109" s="11" t="s">
        <v>837</v>
      </c>
      <c r="G109" s="11">
        <v>3</v>
      </c>
      <c r="H109" s="11">
        <v>3</v>
      </c>
      <c r="I109" s="11">
        <f t="shared" si="3"/>
        <v>9</v>
      </c>
      <c r="J109" s="11" t="s">
        <v>70</v>
      </c>
      <c r="K109" s="11"/>
    </row>
    <row r="110" spans="1:11" x14ac:dyDescent="0.45">
      <c r="A110" s="11" t="s">
        <v>954</v>
      </c>
      <c r="B110" s="11" t="s">
        <v>81</v>
      </c>
      <c r="C110" s="11" t="s">
        <v>956</v>
      </c>
      <c r="D110" s="11" t="s">
        <v>831</v>
      </c>
      <c r="E110" s="11" t="s">
        <v>832</v>
      </c>
      <c r="F110" s="11" t="s">
        <v>839</v>
      </c>
      <c r="G110" s="11">
        <v>3</v>
      </c>
      <c r="H110" s="11">
        <v>3</v>
      </c>
      <c r="I110" s="11">
        <f t="shared" si="3"/>
        <v>9</v>
      </c>
      <c r="J110" s="11" t="s">
        <v>70</v>
      </c>
      <c r="K110" s="11"/>
    </row>
    <row r="111" spans="1:11" x14ac:dyDescent="0.45">
      <c r="A111" s="11" t="s">
        <v>954</v>
      </c>
      <c r="B111" s="11" t="s">
        <v>81</v>
      </c>
      <c r="C111" s="11" t="s">
        <v>830</v>
      </c>
      <c r="D111" s="11" t="s">
        <v>831</v>
      </c>
      <c r="E111" s="11" t="s">
        <v>832</v>
      </c>
      <c r="F111" s="11" t="s">
        <v>833</v>
      </c>
      <c r="G111" s="11">
        <v>3</v>
      </c>
      <c r="H111" s="11">
        <v>1</v>
      </c>
      <c r="I111" s="11">
        <f t="shared" si="3"/>
        <v>3</v>
      </c>
      <c r="J111" s="11" t="s">
        <v>70</v>
      </c>
      <c r="K111" s="11"/>
    </row>
    <row r="112" spans="1:11" x14ac:dyDescent="0.45">
      <c r="A112" s="11" t="s">
        <v>954</v>
      </c>
      <c r="B112" s="11" t="s">
        <v>81</v>
      </c>
      <c r="C112" s="11" t="s">
        <v>834</v>
      </c>
      <c r="D112" s="11" t="s">
        <v>831</v>
      </c>
      <c r="E112" s="11" t="s">
        <v>832</v>
      </c>
      <c r="F112" s="11" t="s">
        <v>835</v>
      </c>
      <c r="G112" s="11">
        <v>3</v>
      </c>
      <c r="H112" s="11">
        <v>1</v>
      </c>
      <c r="I112" s="11">
        <f t="shared" si="3"/>
        <v>3</v>
      </c>
      <c r="J112" s="11" t="s">
        <v>70</v>
      </c>
      <c r="K112" s="11"/>
    </row>
    <row r="113" spans="1:11" x14ac:dyDescent="0.45">
      <c r="A113" s="11" t="s">
        <v>954</v>
      </c>
      <c r="B113" s="11" t="s">
        <v>81</v>
      </c>
      <c r="C113" s="11" t="s">
        <v>957</v>
      </c>
      <c r="D113" s="11" t="s">
        <v>831</v>
      </c>
      <c r="E113" s="11" t="s">
        <v>832</v>
      </c>
      <c r="F113" s="11" t="s">
        <v>958</v>
      </c>
      <c r="G113" s="11">
        <v>3</v>
      </c>
      <c r="H113" s="11">
        <v>1</v>
      </c>
      <c r="I113" s="11">
        <f t="shared" si="3"/>
        <v>3</v>
      </c>
      <c r="J113" s="11" t="s">
        <v>70</v>
      </c>
      <c r="K113" s="11"/>
    </row>
    <row r="114" spans="1:11" x14ac:dyDescent="0.45">
      <c r="A114" s="11" t="s">
        <v>954</v>
      </c>
      <c r="B114" s="11" t="s">
        <v>81</v>
      </c>
      <c r="C114" s="11" t="s">
        <v>842</v>
      </c>
      <c r="D114" s="11" t="s">
        <v>831</v>
      </c>
      <c r="E114" s="11" t="s">
        <v>832</v>
      </c>
      <c r="F114" s="11" t="s">
        <v>70</v>
      </c>
      <c r="G114" s="11">
        <v>3</v>
      </c>
      <c r="H114" s="11">
        <v>1</v>
      </c>
      <c r="I114" s="11">
        <f t="shared" si="3"/>
        <v>3</v>
      </c>
      <c r="J114" s="11" t="s">
        <v>70</v>
      </c>
      <c r="K114" s="11"/>
    </row>
    <row r="115" spans="1:11" x14ac:dyDescent="0.45">
      <c r="A115" s="11" t="s">
        <v>954</v>
      </c>
      <c r="B115" s="11" t="s">
        <v>81</v>
      </c>
      <c r="C115" s="11" t="s">
        <v>840</v>
      </c>
      <c r="D115" s="11" t="s">
        <v>831</v>
      </c>
      <c r="E115" s="11" t="s">
        <v>832</v>
      </c>
      <c r="F115" s="11" t="s">
        <v>841</v>
      </c>
      <c r="G115" s="11">
        <v>3</v>
      </c>
      <c r="H115" s="11">
        <v>1</v>
      </c>
      <c r="I115" s="11">
        <f t="shared" si="3"/>
        <v>3</v>
      </c>
      <c r="J115" s="11" t="s">
        <v>70</v>
      </c>
      <c r="K115" s="11"/>
    </row>
    <row r="116" spans="1:11" x14ac:dyDescent="0.45">
      <c r="A116" s="11" t="s">
        <v>954</v>
      </c>
      <c r="B116" s="11" t="s">
        <v>81</v>
      </c>
      <c r="C116" s="11" t="s">
        <v>959</v>
      </c>
      <c r="D116" s="11" t="s">
        <v>831</v>
      </c>
      <c r="E116" s="11" t="s">
        <v>847</v>
      </c>
      <c r="F116" s="11" t="s">
        <v>848</v>
      </c>
      <c r="G116" s="11">
        <v>3</v>
      </c>
      <c r="H116" s="11">
        <v>1</v>
      </c>
      <c r="I116" s="11">
        <f t="shared" si="3"/>
        <v>3</v>
      </c>
      <c r="J116" s="11" t="s">
        <v>70</v>
      </c>
      <c r="K116" s="11"/>
    </row>
    <row r="117" spans="1:11" x14ac:dyDescent="0.45">
      <c r="A117" s="11" t="s">
        <v>954</v>
      </c>
      <c r="B117" s="11" t="s">
        <v>81</v>
      </c>
      <c r="C117" s="11" t="s">
        <v>960</v>
      </c>
      <c r="D117" s="11" t="s">
        <v>831</v>
      </c>
      <c r="E117" s="11" t="s">
        <v>847</v>
      </c>
      <c r="F117" s="11" t="s">
        <v>961</v>
      </c>
      <c r="G117" s="11">
        <v>3</v>
      </c>
      <c r="H117" s="11">
        <v>1</v>
      </c>
      <c r="I117" s="11">
        <f t="shared" si="3"/>
        <v>3</v>
      </c>
      <c r="J117" s="11" t="s">
        <v>70</v>
      </c>
      <c r="K117" s="11"/>
    </row>
    <row r="118" spans="1:11" x14ac:dyDescent="0.45">
      <c r="A118" s="11" t="s">
        <v>954</v>
      </c>
      <c r="B118" s="11" t="s">
        <v>81</v>
      </c>
      <c r="C118" s="11" t="s">
        <v>962</v>
      </c>
      <c r="D118" s="11" t="s">
        <v>831</v>
      </c>
      <c r="E118" s="11" t="s">
        <v>832</v>
      </c>
      <c r="F118" s="11" t="s">
        <v>862</v>
      </c>
      <c r="G118" s="11">
        <v>3</v>
      </c>
      <c r="H118" s="11">
        <v>1</v>
      </c>
      <c r="I118" s="11">
        <f t="shared" si="3"/>
        <v>3</v>
      </c>
      <c r="J118" s="11" t="s">
        <v>70</v>
      </c>
      <c r="K118" s="11"/>
    </row>
    <row r="119" spans="1:11" x14ac:dyDescent="0.45">
      <c r="A119" s="11" t="s">
        <v>954</v>
      </c>
      <c r="B119" s="11" t="s">
        <v>81</v>
      </c>
      <c r="C119" s="11" t="s">
        <v>963</v>
      </c>
      <c r="D119" s="11" t="s">
        <v>831</v>
      </c>
      <c r="E119" s="11" t="s">
        <v>832</v>
      </c>
      <c r="F119" s="11" t="s">
        <v>862</v>
      </c>
      <c r="G119" s="11">
        <v>3</v>
      </c>
      <c r="H119" s="11">
        <v>1</v>
      </c>
      <c r="I119" s="11">
        <f t="shared" si="3"/>
        <v>3</v>
      </c>
      <c r="J119" s="11" t="s">
        <v>70</v>
      </c>
      <c r="K119" s="11"/>
    </row>
    <row r="120" spans="1:11" x14ac:dyDescent="0.45">
      <c r="A120" s="11" t="s">
        <v>964</v>
      </c>
      <c r="B120" s="11" t="s">
        <v>81</v>
      </c>
      <c r="C120" s="11" t="s">
        <v>965</v>
      </c>
      <c r="D120" s="11" t="s">
        <v>831</v>
      </c>
      <c r="E120" s="11" t="s">
        <v>832</v>
      </c>
      <c r="F120" s="11" t="s">
        <v>966</v>
      </c>
      <c r="G120" s="11">
        <v>1</v>
      </c>
      <c r="H120" s="11">
        <v>1</v>
      </c>
      <c r="I120" s="11">
        <f t="shared" si="3"/>
        <v>1</v>
      </c>
      <c r="J120" s="11" t="s">
        <v>70</v>
      </c>
      <c r="K120" s="11"/>
    </row>
    <row r="121" spans="1:11" x14ac:dyDescent="0.45">
      <c r="A121" s="11" t="s">
        <v>964</v>
      </c>
      <c r="B121" s="11" t="s">
        <v>81</v>
      </c>
      <c r="C121" s="11" t="s">
        <v>967</v>
      </c>
      <c r="D121" s="11" t="s">
        <v>831</v>
      </c>
      <c r="E121" s="11" t="s">
        <v>832</v>
      </c>
      <c r="F121" s="11" t="s">
        <v>968</v>
      </c>
      <c r="G121" s="11">
        <v>1</v>
      </c>
      <c r="H121" s="11">
        <v>1</v>
      </c>
      <c r="I121" s="11">
        <f t="shared" si="3"/>
        <v>1</v>
      </c>
      <c r="J121" s="11" t="s">
        <v>70</v>
      </c>
      <c r="K121" s="11"/>
    </row>
    <row r="122" spans="1:11" x14ac:dyDescent="0.45">
      <c r="A122" s="11" t="s">
        <v>964</v>
      </c>
      <c r="B122" s="11" t="s">
        <v>81</v>
      </c>
      <c r="C122" s="11" t="s">
        <v>969</v>
      </c>
      <c r="D122" s="11" t="s">
        <v>831</v>
      </c>
      <c r="E122" s="11" t="s">
        <v>832</v>
      </c>
      <c r="F122" s="11" t="s">
        <v>970</v>
      </c>
      <c r="G122" s="11">
        <v>1</v>
      </c>
      <c r="H122" s="11">
        <v>1</v>
      </c>
      <c r="I122" s="11">
        <f t="shared" si="3"/>
        <v>1</v>
      </c>
      <c r="J122" s="11" t="s">
        <v>70</v>
      </c>
      <c r="K122" s="11"/>
    </row>
    <row r="123" spans="1:11" x14ac:dyDescent="0.45">
      <c r="A123" s="11" t="s">
        <v>964</v>
      </c>
      <c r="B123" s="11" t="s">
        <v>81</v>
      </c>
      <c r="C123" s="11" t="s">
        <v>971</v>
      </c>
      <c r="D123" s="11" t="s">
        <v>831</v>
      </c>
      <c r="E123" s="11" t="s">
        <v>832</v>
      </c>
      <c r="F123" s="11" t="s">
        <v>852</v>
      </c>
      <c r="G123" s="11">
        <v>1</v>
      </c>
      <c r="H123" s="11">
        <v>1</v>
      </c>
      <c r="I123" s="11">
        <f t="shared" si="3"/>
        <v>1</v>
      </c>
      <c r="J123" s="11" t="s">
        <v>70</v>
      </c>
      <c r="K123" s="11"/>
    </row>
    <row r="124" spans="1:11" x14ac:dyDescent="0.45">
      <c r="A124" s="11" t="s">
        <v>964</v>
      </c>
      <c r="B124" s="11" t="s">
        <v>81</v>
      </c>
      <c r="C124" s="11" t="s">
        <v>972</v>
      </c>
      <c r="D124" s="11" t="s">
        <v>831</v>
      </c>
      <c r="E124" s="11" t="s">
        <v>832</v>
      </c>
      <c r="F124" s="11" t="s">
        <v>852</v>
      </c>
      <c r="G124" s="11">
        <v>1</v>
      </c>
      <c r="H124" s="11">
        <v>1</v>
      </c>
      <c r="I124" s="11">
        <f t="shared" si="3"/>
        <v>1</v>
      </c>
      <c r="J124" s="11" t="s">
        <v>70</v>
      </c>
      <c r="K124" s="11"/>
    </row>
    <row r="125" spans="1:11" x14ac:dyDescent="0.45">
      <c r="A125" s="11" t="s">
        <v>964</v>
      </c>
      <c r="B125" s="11" t="s">
        <v>81</v>
      </c>
      <c r="C125" s="11" t="s">
        <v>973</v>
      </c>
      <c r="D125" s="11" t="s">
        <v>831</v>
      </c>
      <c r="E125" s="11" t="s">
        <v>3</v>
      </c>
      <c r="F125" s="11" t="s">
        <v>70</v>
      </c>
      <c r="G125" s="11">
        <v>1</v>
      </c>
      <c r="H125" s="11">
        <v>1</v>
      </c>
      <c r="I125" s="11">
        <f t="shared" si="3"/>
        <v>1</v>
      </c>
      <c r="J125" s="11" t="s">
        <v>70</v>
      </c>
      <c r="K125" s="11"/>
    </row>
    <row r="126" spans="1:11" x14ac:dyDescent="0.45">
      <c r="A126" s="11" t="s">
        <v>974</v>
      </c>
      <c r="B126" s="11" t="s">
        <v>975</v>
      </c>
      <c r="C126" s="11" t="s">
        <v>976</v>
      </c>
      <c r="D126" s="11" t="s">
        <v>831</v>
      </c>
      <c r="E126" s="11" t="s">
        <v>832</v>
      </c>
      <c r="F126" s="11" t="s">
        <v>837</v>
      </c>
      <c r="G126" s="11">
        <v>1</v>
      </c>
      <c r="H126" s="11">
        <v>1</v>
      </c>
      <c r="I126" s="11">
        <f t="shared" si="3"/>
        <v>1</v>
      </c>
      <c r="J126" s="11" t="s">
        <v>70</v>
      </c>
      <c r="K126" s="11"/>
    </row>
    <row r="127" spans="1:11" x14ac:dyDescent="0.45">
      <c r="A127" s="11" t="s">
        <v>974</v>
      </c>
      <c r="B127" s="11" t="s">
        <v>975</v>
      </c>
      <c r="C127" s="11" t="s">
        <v>977</v>
      </c>
      <c r="D127" s="11" t="s">
        <v>831</v>
      </c>
      <c r="E127" s="11" t="s">
        <v>832</v>
      </c>
      <c r="F127" s="11" t="s">
        <v>862</v>
      </c>
      <c r="G127" s="11">
        <v>1</v>
      </c>
      <c r="H127" s="11">
        <v>1</v>
      </c>
      <c r="I127" s="11">
        <f t="shared" si="3"/>
        <v>1</v>
      </c>
      <c r="J127" s="11" t="s">
        <v>70</v>
      </c>
      <c r="K127" s="11"/>
    </row>
    <row r="128" spans="1:11" x14ac:dyDescent="0.45">
      <c r="A128" s="11" t="s">
        <v>974</v>
      </c>
      <c r="B128" s="11" t="s">
        <v>975</v>
      </c>
      <c r="C128" s="11" t="s">
        <v>978</v>
      </c>
      <c r="D128" s="11" t="s">
        <v>831</v>
      </c>
      <c r="E128" s="11" t="s">
        <v>832</v>
      </c>
      <c r="F128" s="11" t="s">
        <v>862</v>
      </c>
      <c r="G128" s="11">
        <v>1</v>
      </c>
      <c r="H128" s="11">
        <v>1</v>
      </c>
      <c r="I128" s="11">
        <f t="shared" si="3"/>
        <v>1</v>
      </c>
      <c r="J128" s="11" t="s">
        <v>70</v>
      </c>
      <c r="K128" s="11"/>
    </row>
    <row r="129" spans="1:11" x14ac:dyDescent="0.45">
      <c r="A129" s="11" t="s">
        <v>974</v>
      </c>
      <c r="B129" s="11" t="s">
        <v>975</v>
      </c>
      <c r="C129" s="11" t="s">
        <v>979</v>
      </c>
      <c r="D129" s="11" t="s">
        <v>831</v>
      </c>
      <c r="E129" s="11" t="s">
        <v>832</v>
      </c>
      <c r="F129" s="11" t="s">
        <v>980</v>
      </c>
      <c r="G129" s="11">
        <v>1</v>
      </c>
      <c r="H129" s="11">
        <v>1</v>
      </c>
      <c r="I129" s="11">
        <f t="shared" si="3"/>
        <v>1</v>
      </c>
      <c r="J129" s="11" t="s">
        <v>70</v>
      </c>
      <c r="K129" s="11"/>
    </row>
    <row r="130" spans="1:11" x14ac:dyDescent="0.45">
      <c r="A130" s="11" t="s">
        <v>974</v>
      </c>
      <c r="B130" s="11" t="s">
        <v>975</v>
      </c>
      <c r="C130" s="11" t="s">
        <v>981</v>
      </c>
      <c r="D130" s="11" t="s">
        <v>831</v>
      </c>
      <c r="E130" s="11" t="s">
        <v>3</v>
      </c>
      <c r="F130" s="11" t="s">
        <v>70</v>
      </c>
      <c r="G130" s="11">
        <v>1</v>
      </c>
      <c r="H130" s="11">
        <v>1</v>
      </c>
      <c r="I130" s="11">
        <f t="shared" ref="I130:I161" si="4">G130*H130</f>
        <v>1</v>
      </c>
      <c r="J130" s="11" t="s">
        <v>70</v>
      </c>
      <c r="K130" s="11"/>
    </row>
    <row r="131" spans="1:11" x14ac:dyDescent="0.45">
      <c r="A131" s="11" t="s">
        <v>974</v>
      </c>
      <c r="B131" s="11" t="s">
        <v>975</v>
      </c>
      <c r="C131" s="11" t="s">
        <v>982</v>
      </c>
      <c r="D131" s="11" t="s">
        <v>831</v>
      </c>
      <c r="E131" s="11" t="s">
        <v>3</v>
      </c>
      <c r="F131" s="11" t="s">
        <v>70</v>
      </c>
      <c r="G131" s="11">
        <v>1</v>
      </c>
      <c r="H131" s="11">
        <v>1</v>
      </c>
      <c r="I131" s="11">
        <f t="shared" si="4"/>
        <v>1</v>
      </c>
      <c r="J131" s="11" t="s">
        <v>70</v>
      </c>
      <c r="K131" s="11"/>
    </row>
    <row r="132" spans="1:11" x14ac:dyDescent="0.45">
      <c r="A132" s="11" t="s">
        <v>983</v>
      </c>
      <c r="B132" s="11" t="s">
        <v>984</v>
      </c>
      <c r="C132" s="11" t="s">
        <v>985</v>
      </c>
      <c r="D132" s="11" t="s">
        <v>831</v>
      </c>
      <c r="E132" s="11" t="s">
        <v>3</v>
      </c>
      <c r="F132" s="11" t="s">
        <v>70</v>
      </c>
      <c r="G132" s="11">
        <v>7</v>
      </c>
      <c r="H132" s="11">
        <v>1</v>
      </c>
      <c r="I132" s="11">
        <f t="shared" si="4"/>
        <v>7</v>
      </c>
      <c r="J132" s="11" t="s">
        <v>70</v>
      </c>
      <c r="K132" s="11"/>
    </row>
    <row r="133" spans="1:11" x14ac:dyDescent="0.45">
      <c r="A133" s="11" t="s">
        <v>983</v>
      </c>
      <c r="B133" s="11" t="s">
        <v>984</v>
      </c>
      <c r="C133" s="11" t="s">
        <v>986</v>
      </c>
      <c r="D133" s="11" t="s">
        <v>831</v>
      </c>
      <c r="E133" s="11" t="s">
        <v>3</v>
      </c>
      <c r="F133" s="11" t="s">
        <v>70</v>
      </c>
      <c r="G133" s="11">
        <v>7</v>
      </c>
      <c r="H133" s="11">
        <v>1</v>
      </c>
      <c r="I133" s="11">
        <f t="shared" si="4"/>
        <v>7</v>
      </c>
      <c r="J133" s="11" t="s">
        <v>70</v>
      </c>
      <c r="K133" s="11"/>
    </row>
    <row r="134" spans="1:11" x14ac:dyDescent="0.45">
      <c r="A134" s="11" t="s">
        <v>987</v>
      </c>
      <c r="B134" s="11" t="s">
        <v>984</v>
      </c>
      <c r="C134" s="11" t="s">
        <v>985</v>
      </c>
      <c r="D134" s="11" t="s">
        <v>831</v>
      </c>
      <c r="E134" s="11" t="s">
        <v>3</v>
      </c>
      <c r="F134" s="11" t="s">
        <v>70</v>
      </c>
      <c r="G134" s="11">
        <v>2</v>
      </c>
      <c r="H134" s="11">
        <v>1</v>
      </c>
      <c r="I134" s="11">
        <f t="shared" si="4"/>
        <v>2</v>
      </c>
      <c r="J134" s="11" t="s">
        <v>70</v>
      </c>
      <c r="K134" s="11"/>
    </row>
    <row r="135" spans="1:11" x14ac:dyDescent="0.45">
      <c r="A135" s="11" t="s">
        <v>987</v>
      </c>
      <c r="B135" s="11" t="s">
        <v>984</v>
      </c>
      <c r="C135" s="11" t="s">
        <v>988</v>
      </c>
      <c r="D135" s="11" t="s">
        <v>831</v>
      </c>
      <c r="E135" s="11" t="s">
        <v>3</v>
      </c>
      <c r="F135" s="11" t="s">
        <v>70</v>
      </c>
      <c r="G135" s="11">
        <v>2</v>
      </c>
      <c r="H135" s="11">
        <v>1</v>
      </c>
      <c r="I135" s="11">
        <f t="shared" si="4"/>
        <v>2</v>
      </c>
      <c r="J135" s="11" t="s">
        <v>70</v>
      </c>
      <c r="K135" s="11"/>
    </row>
    <row r="136" spans="1:11" ht="25.5" x14ac:dyDescent="0.45">
      <c r="A136" s="11" t="s">
        <v>989</v>
      </c>
      <c r="B136" s="11" t="s">
        <v>81</v>
      </c>
      <c r="C136" s="11" t="s">
        <v>990</v>
      </c>
      <c r="D136" s="11" t="s">
        <v>831</v>
      </c>
      <c r="E136" s="11" t="s">
        <v>3</v>
      </c>
      <c r="F136" s="11" t="s">
        <v>70</v>
      </c>
      <c r="G136" s="11">
        <v>1</v>
      </c>
      <c r="H136" s="11">
        <v>4</v>
      </c>
      <c r="I136" s="11">
        <f t="shared" si="4"/>
        <v>4</v>
      </c>
      <c r="J136" s="11" t="s">
        <v>70</v>
      </c>
      <c r="K136" s="11"/>
    </row>
    <row r="137" spans="1:11" x14ac:dyDescent="0.45">
      <c r="A137" s="11" t="s">
        <v>991</v>
      </c>
      <c r="B137" s="11" t="s">
        <v>992</v>
      </c>
      <c r="C137" s="11" t="s">
        <v>993</v>
      </c>
      <c r="D137" s="11" t="s">
        <v>831</v>
      </c>
      <c r="E137" s="11" t="s">
        <v>3</v>
      </c>
      <c r="F137" s="11" t="s">
        <v>70</v>
      </c>
      <c r="G137" s="11">
        <v>1</v>
      </c>
      <c r="H137" s="11">
        <v>1</v>
      </c>
      <c r="I137" s="11">
        <f t="shared" si="4"/>
        <v>1</v>
      </c>
      <c r="J137" s="11" t="s">
        <v>70</v>
      </c>
      <c r="K137" s="11"/>
    </row>
    <row r="138" spans="1:11" x14ac:dyDescent="0.45">
      <c r="A138" s="11" t="s">
        <v>991</v>
      </c>
      <c r="B138" s="11" t="s">
        <v>992</v>
      </c>
      <c r="C138" s="11" t="s">
        <v>994</v>
      </c>
      <c r="D138" s="11" t="s">
        <v>831</v>
      </c>
      <c r="E138" s="11" t="s">
        <v>3</v>
      </c>
      <c r="F138" s="11" t="s">
        <v>70</v>
      </c>
      <c r="G138" s="11">
        <v>1</v>
      </c>
      <c r="H138" s="11">
        <v>1</v>
      </c>
      <c r="I138" s="11">
        <f t="shared" si="4"/>
        <v>1</v>
      </c>
      <c r="J138" s="11" t="s">
        <v>70</v>
      </c>
      <c r="K138" s="11"/>
    </row>
    <row r="139" spans="1:11" x14ac:dyDescent="0.45">
      <c r="A139" s="11" t="s">
        <v>991</v>
      </c>
      <c r="B139" s="11" t="s">
        <v>992</v>
      </c>
      <c r="C139" s="11" t="s">
        <v>995</v>
      </c>
      <c r="D139" s="11" t="s">
        <v>831</v>
      </c>
      <c r="E139" s="11" t="s">
        <v>3</v>
      </c>
      <c r="F139" s="11" t="s">
        <v>70</v>
      </c>
      <c r="G139" s="11">
        <v>1</v>
      </c>
      <c r="H139" s="11">
        <v>1</v>
      </c>
      <c r="I139" s="11">
        <f t="shared" si="4"/>
        <v>1</v>
      </c>
      <c r="J139" s="11" t="s">
        <v>70</v>
      </c>
      <c r="K139" s="11"/>
    </row>
    <row r="140" spans="1:11" x14ac:dyDescent="0.45">
      <c r="A140" s="11" t="s">
        <v>991</v>
      </c>
      <c r="B140" s="11" t="s">
        <v>992</v>
      </c>
      <c r="C140" s="11" t="s">
        <v>996</v>
      </c>
      <c r="D140" s="11" t="s">
        <v>831</v>
      </c>
      <c r="E140" s="11" t="s">
        <v>3</v>
      </c>
      <c r="F140" s="11" t="s">
        <v>70</v>
      </c>
      <c r="G140" s="11">
        <v>1</v>
      </c>
      <c r="H140" s="11">
        <v>1</v>
      </c>
      <c r="I140" s="11">
        <f t="shared" si="4"/>
        <v>1</v>
      </c>
      <c r="J140" s="11" t="s">
        <v>70</v>
      </c>
      <c r="K140" s="11"/>
    </row>
    <row r="141" spans="1:11" x14ac:dyDescent="0.45">
      <c r="A141" s="11" t="s">
        <v>991</v>
      </c>
      <c r="B141" s="11" t="s">
        <v>992</v>
      </c>
      <c r="C141" s="11" t="s">
        <v>997</v>
      </c>
      <c r="D141" s="11" t="s">
        <v>831</v>
      </c>
      <c r="E141" s="11" t="s">
        <v>3</v>
      </c>
      <c r="F141" s="11" t="s">
        <v>70</v>
      </c>
      <c r="G141" s="11">
        <v>1</v>
      </c>
      <c r="H141" s="11">
        <v>1</v>
      </c>
      <c r="I141" s="11">
        <f t="shared" si="4"/>
        <v>1</v>
      </c>
      <c r="J141" s="11" t="s">
        <v>70</v>
      </c>
      <c r="K141" s="11"/>
    </row>
    <row r="142" spans="1:11" x14ac:dyDescent="0.45">
      <c r="A142" s="11" t="s">
        <v>991</v>
      </c>
      <c r="B142" s="11" t="s">
        <v>992</v>
      </c>
      <c r="C142" s="11" t="s">
        <v>998</v>
      </c>
      <c r="D142" s="11" t="s">
        <v>831</v>
      </c>
      <c r="E142" s="11" t="s">
        <v>3</v>
      </c>
      <c r="F142" s="11" t="s">
        <v>70</v>
      </c>
      <c r="G142" s="11">
        <v>1</v>
      </c>
      <c r="H142" s="11">
        <v>1</v>
      </c>
      <c r="I142" s="11">
        <f t="shared" si="4"/>
        <v>1</v>
      </c>
      <c r="J142" s="11" t="s">
        <v>70</v>
      </c>
      <c r="K142" s="11"/>
    </row>
    <row r="143" spans="1:11" x14ac:dyDescent="0.45">
      <c r="A143" s="11" t="s">
        <v>991</v>
      </c>
      <c r="B143" s="11" t="s">
        <v>992</v>
      </c>
      <c r="C143" s="11" t="s">
        <v>999</v>
      </c>
      <c r="D143" s="11" t="s">
        <v>831</v>
      </c>
      <c r="E143" s="11" t="s">
        <v>3</v>
      </c>
      <c r="F143" s="11" t="s">
        <v>70</v>
      </c>
      <c r="G143" s="11">
        <v>1</v>
      </c>
      <c r="H143" s="11">
        <v>1</v>
      </c>
      <c r="I143" s="11">
        <f t="shared" si="4"/>
        <v>1</v>
      </c>
      <c r="J143" s="11" t="s">
        <v>70</v>
      </c>
      <c r="K143" s="11"/>
    </row>
    <row r="144" spans="1:11" x14ac:dyDescent="0.45">
      <c r="A144" s="11" t="s">
        <v>991</v>
      </c>
      <c r="B144" s="11" t="s">
        <v>992</v>
      </c>
      <c r="C144" s="11" t="s">
        <v>1000</v>
      </c>
      <c r="D144" s="11" t="s">
        <v>831</v>
      </c>
      <c r="E144" s="11" t="s">
        <v>3</v>
      </c>
      <c r="F144" s="11" t="s">
        <v>70</v>
      </c>
      <c r="G144" s="11">
        <v>1</v>
      </c>
      <c r="H144" s="11">
        <v>1</v>
      </c>
      <c r="I144" s="11">
        <f t="shared" si="4"/>
        <v>1</v>
      </c>
      <c r="J144" s="11" t="s">
        <v>70</v>
      </c>
      <c r="K144" s="11"/>
    </row>
    <row r="145" spans="1:11" x14ac:dyDescent="0.45">
      <c r="A145" s="11" t="s">
        <v>991</v>
      </c>
      <c r="B145" s="11" t="s">
        <v>992</v>
      </c>
      <c r="C145" s="11" t="s">
        <v>1001</v>
      </c>
      <c r="D145" s="11" t="s">
        <v>831</v>
      </c>
      <c r="E145" s="11" t="s">
        <v>3</v>
      </c>
      <c r="F145" s="11" t="s">
        <v>70</v>
      </c>
      <c r="G145" s="11">
        <v>1</v>
      </c>
      <c r="H145" s="11">
        <v>1</v>
      </c>
      <c r="I145" s="11">
        <f t="shared" si="4"/>
        <v>1</v>
      </c>
      <c r="J145" s="11" t="s">
        <v>70</v>
      </c>
      <c r="K145" s="11"/>
    </row>
    <row r="146" spans="1:11" ht="25.5" x14ac:dyDescent="0.45">
      <c r="A146" s="11" t="s">
        <v>991</v>
      </c>
      <c r="B146" s="11" t="s">
        <v>992</v>
      </c>
      <c r="C146" s="11" t="s">
        <v>1002</v>
      </c>
      <c r="D146" s="11" t="s">
        <v>831</v>
      </c>
      <c r="E146" s="11" t="s">
        <v>3</v>
      </c>
      <c r="F146" s="11" t="s">
        <v>70</v>
      </c>
      <c r="G146" s="11">
        <v>1</v>
      </c>
      <c r="H146" s="11">
        <v>8</v>
      </c>
      <c r="I146" s="11">
        <f t="shared" si="4"/>
        <v>8</v>
      </c>
      <c r="J146" s="11" t="s">
        <v>70</v>
      </c>
      <c r="K146" s="11"/>
    </row>
    <row r="148" spans="1:11" x14ac:dyDescent="0.45">
      <c r="H148" s="2" t="s">
        <v>785</v>
      </c>
      <c r="I148" s="2">
        <f>SUM(I2:I146)</f>
        <v>438</v>
      </c>
    </row>
    <row r="149" spans="1:11" x14ac:dyDescent="0.45">
      <c r="H149" s="4" t="s">
        <v>831</v>
      </c>
      <c r="I149" s="4">
        <f>SUMIF(D2:D146,"Read",I2:I146)+SUMIF(D2:D146,"Read/Write",I2:I146)</f>
        <v>415</v>
      </c>
    </row>
    <row r="150" spans="1:11" x14ac:dyDescent="0.45">
      <c r="H150" s="4" t="s">
        <v>860</v>
      </c>
      <c r="I150" s="4">
        <f>SUMIF(D2:D146,"Write",I2:I146)</f>
        <v>23</v>
      </c>
    </row>
    <row r="152" spans="1:11" x14ac:dyDescent="0.45">
      <c r="A152" s="13" t="s">
        <v>1003</v>
      </c>
    </row>
  </sheetData>
  <autoFilter ref="A1:K146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6"/>
  <sheetViews>
    <sheetView zoomScaleNormal="100" workbookViewId="0">
      <pane ySplit="1" topLeftCell="A12" activePane="bottomLeft" state="frozen"/>
      <selection pane="bottomLeft"/>
    </sheetView>
  </sheetViews>
  <sheetFormatPr defaultColWidth="8.6640625" defaultRowHeight="14.25" x14ac:dyDescent="0.45"/>
  <cols>
    <col min="1" max="1" width="5" customWidth="1"/>
    <col min="2" max="2" width="14" customWidth="1"/>
    <col min="3" max="3" width="30" customWidth="1"/>
    <col min="4" max="4" width="16" customWidth="1"/>
    <col min="5" max="5" width="22" customWidth="1"/>
    <col min="6" max="6" width="20" customWidth="1"/>
    <col min="7" max="7" width="40" customWidth="1"/>
    <col min="8" max="8" width="46" customWidth="1"/>
    <col min="9" max="9" width="10" customWidth="1"/>
  </cols>
  <sheetData>
    <row r="1" spans="1:9" ht="30" customHeight="1" x14ac:dyDescent="0.45">
      <c r="A1" s="8" t="s">
        <v>1004</v>
      </c>
      <c r="B1" s="8" t="s">
        <v>51</v>
      </c>
      <c r="C1" s="8" t="s">
        <v>1005</v>
      </c>
      <c r="D1" s="8" t="s">
        <v>53</v>
      </c>
      <c r="E1" s="8" t="s">
        <v>54</v>
      </c>
      <c r="F1" s="8" t="s">
        <v>1006</v>
      </c>
      <c r="G1" s="8" t="s">
        <v>1007</v>
      </c>
      <c r="H1" s="8" t="s">
        <v>1008</v>
      </c>
      <c r="I1" s="8" t="s">
        <v>1009</v>
      </c>
    </row>
    <row r="2" spans="1:9" ht="38.25" x14ac:dyDescent="0.45">
      <c r="A2" s="11">
        <v>1</v>
      </c>
      <c r="B2" s="11" t="s">
        <v>5</v>
      </c>
      <c r="C2" s="11" t="s">
        <v>168</v>
      </c>
      <c r="D2" s="11" t="s">
        <v>169</v>
      </c>
      <c r="E2" s="11" t="s">
        <v>1010</v>
      </c>
      <c r="F2" s="11" t="s">
        <v>171</v>
      </c>
      <c r="G2" s="11" t="s">
        <v>1011</v>
      </c>
      <c r="H2" s="11" t="s">
        <v>1012</v>
      </c>
      <c r="I2" s="11"/>
    </row>
    <row r="3" spans="1:9" ht="38.25" x14ac:dyDescent="0.45">
      <c r="A3" s="11">
        <v>2</v>
      </c>
      <c r="B3" s="11" t="s">
        <v>5</v>
      </c>
      <c r="C3" s="11" t="s">
        <v>1013</v>
      </c>
      <c r="D3" s="11" t="s">
        <v>169</v>
      </c>
      <c r="E3" s="11" t="s">
        <v>1014</v>
      </c>
      <c r="F3" s="11" t="s">
        <v>179</v>
      </c>
      <c r="G3" s="11" t="s">
        <v>1015</v>
      </c>
      <c r="H3" s="11" t="s">
        <v>1012</v>
      </c>
      <c r="I3" s="11"/>
    </row>
    <row r="4" spans="1:9" ht="38.25" x14ac:dyDescent="0.45">
      <c r="A4" s="11">
        <v>3</v>
      </c>
      <c r="B4" s="11" t="s">
        <v>5</v>
      </c>
      <c r="C4" s="11" t="s">
        <v>1016</v>
      </c>
      <c r="D4" s="11" t="s">
        <v>169</v>
      </c>
      <c r="E4" s="11" t="s">
        <v>1017</v>
      </c>
      <c r="F4" s="11" t="s">
        <v>185</v>
      </c>
      <c r="G4" s="11" t="s">
        <v>1015</v>
      </c>
      <c r="H4" s="11" t="s">
        <v>1012</v>
      </c>
      <c r="I4" s="11"/>
    </row>
    <row r="5" spans="1:9" ht="38.25" x14ac:dyDescent="0.45">
      <c r="A5" s="11">
        <v>4</v>
      </c>
      <c r="B5" s="11" t="s">
        <v>5</v>
      </c>
      <c r="C5" s="11" t="s">
        <v>1018</v>
      </c>
      <c r="D5" s="11" t="s">
        <v>169</v>
      </c>
      <c r="E5" s="11" t="s">
        <v>1019</v>
      </c>
      <c r="F5" s="11" t="s">
        <v>192</v>
      </c>
      <c r="G5" s="11" t="s">
        <v>1015</v>
      </c>
      <c r="H5" s="11" t="s">
        <v>1012</v>
      </c>
      <c r="I5" s="11"/>
    </row>
    <row r="6" spans="1:9" ht="38.25" x14ac:dyDescent="0.45">
      <c r="A6" s="11">
        <v>5</v>
      </c>
      <c r="B6" s="11" t="s">
        <v>194</v>
      </c>
      <c r="C6" s="11" t="s">
        <v>1020</v>
      </c>
      <c r="D6" s="11" t="s">
        <v>169</v>
      </c>
      <c r="E6" s="11" t="s">
        <v>1021</v>
      </c>
      <c r="F6" s="11" t="s">
        <v>197</v>
      </c>
      <c r="G6" s="11" t="s">
        <v>1022</v>
      </c>
      <c r="H6" s="11" t="s">
        <v>1012</v>
      </c>
      <c r="I6" s="11"/>
    </row>
    <row r="7" spans="1:9" ht="38.25" x14ac:dyDescent="0.45">
      <c r="A7" s="11">
        <v>6</v>
      </c>
      <c r="B7" s="11" t="s">
        <v>194</v>
      </c>
      <c r="C7" s="11" t="s">
        <v>1023</v>
      </c>
      <c r="D7" s="11" t="s">
        <v>169</v>
      </c>
      <c r="E7" s="11" t="s">
        <v>1024</v>
      </c>
      <c r="F7" s="11" t="s">
        <v>1025</v>
      </c>
      <c r="G7" s="11" t="s">
        <v>1015</v>
      </c>
      <c r="H7" s="11" t="s">
        <v>1012</v>
      </c>
      <c r="I7" s="11"/>
    </row>
    <row r="8" spans="1:9" ht="38.25" x14ac:dyDescent="0.45">
      <c r="A8" s="11">
        <v>7</v>
      </c>
      <c r="B8" s="11" t="s">
        <v>194</v>
      </c>
      <c r="C8" s="11" t="s">
        <v>1026</v>
      </c>
      <c r="D8" s="11" t="s">
        <v>169</v>
      </c>
      <c r="E8" s="11" t="s">
        <v>1027</v>
      </c>
      <c r="F8" s="11" t="s">
        <v>212</v>
      </c>
      <c r="G8" s="11" t="s">
        <v>1015</v>
      </c>
      <c r="H8" s="11" t="s">
        <v>1012</v>
      </c>
      <c r="I8" s="11"/>
    </row>
    <row r="9" spans="1:9" ht="38.25" x14ac:dyDescent="0.45">
      <c r="A9" s="11">
        <v>8</v>
      </c>
      <c r="B9" s="11" t="s">
        <v>194</v>
      </c>
      <c r="C9" s="11" t="s">
        <v>1028</v>
      </c>
      <c r="D9" s="11" t="s">
        <v>169</v>
      </c>
      <c r="E9" s="11" t="s">
        <v>1029</v>
      </c>
      <c r="F9" s="11" t="s">
        <v>217</v>
      </c>
      <c r="G9" s="11" t="s">
        <v>1015</v>
      </c>
      <c r="H9" s="11" t="s">
        <v>1012</v>
      </c>
      <c r="I9" s="11"/>
    </row>
    <row r="10" spans="1:9" ht="38.25" x14ac:dyDescent="0.45">
      <c r="A10" s="11">
        <v>9</v>
      </c>
      <c r="B10" s="11" t="s">
        <v>194</v>
      </c>
      <c r="C10" s="11" t="s">
        <v>1030</v>
      </c>
      <c r="D10" s="11" t="s">
        <v>169</v>
      </c>
      <c r="E10" s="11" t="s">
        <v>1031</v>
      </c>
      <c r="F10" s="11" t="s">
        <v>223</v>
      </c>
      <c r="G10" s="11" t="s">
        <v>1015</v>
      </c>
      <c r="H10" s="11" t="s">
        <v>1012</v>
      </c>
      <c r="I10" s="11"/>
    </row>
    <row r="11" spans="1:9" ht="38.25" x14ac:dyDescent="0.45">
      <c r="A11" s="11">
        <v>10</v>
      </c>
      <c r="B11" s="11" t="s">
        <v>194</v>
      </c>
      <c r="C11" s="11" t="s">
        <v>1032</v>
      </c>
      <c r="D11" s="11" t="s">
        <v>169</v>
      </c>
      <c r="E11" s="11" t="s">
        <v>1033</v>
      </c>
      <c r="F11" s="11" t="s">
        <v>1025</v>
      </c>
      <c r="G11" s="11" t="s">
        <v>1034</v>
      </c>
      <c r="H11" s="11" t="s">
        <v>1012</v>
      </c>
      <c r="I11" s="11"/>
    </row>
    <row r="12" spans="1:9" ht="25.5" x14ac:dyDescent="0.45">
      <c r="A12" s="11">
        <v>11</v>
      </c>
      <c r="B12" s="11" t="s">
        <v>194</v>
      </c>
      <c r="C12" s="11" t="s">
        <v>1035</v>
      </c>
      <c r="D12" s="11" t="s">
        <v>169</v>
      </c>
      <c r="E12" s="11" t="s">
        <v>1036</v>
      </c>
      <c r="F12" s="11" t="s">
        <v>70</v>
      </c>
      <c r="G12" s="11" t="s">
        <v>1037</v>
      </c>
      <c r="H12" s="11" t="s">
        <v>1038</v>
      </c>
      <c r="I12" s="11"/>
    </row>
    <row r="13" spans="1:9" ht="38.25" x14ac:dyDescent="0.45">
      <c r="A13" s="11">
        <v>12</v>
      </c>
      <c r="B13" s="11" t="s">
        <v>7</v>
      </c>
      <c r="C13" s="11" t="s">
        <v>344</v>
      </c>
      <c r="D13" s="11" t="s">
        <v>169</v>
      </c>
      <c r="E13" s="11" t="s">
        <v>292</v>
      </c>
      <c r="F13" s="11" t="s">
        <v>1039</v>
      </c>
      <c r="G13" s="11" t="s">
        <v>1015</v>
      </c>
      <c r="H13" s="11" t="s">
        <v>1012</v>
      </c>
      <c r="I13" s="11"/>
    </row>
    <row r="14" spans="1:9" x14ac:dyDescent="0.45">
      <c r="A14" s="11">
        <v>13</v>
      </c>
      <c r="B14" s="11" t="s">
        <v>7</v>
      </c>
      <c r="C14" s="11" t="s">
        <v>1040</v>
      </c>
      <c r="D14" s="11" t="s">
        <v>298</v>
      </c>
      <c r="E14" s="11" t="s">
        <v>299</v>
      </c>
      <c r="F14" s="11" t="s">
        <v>1041</v>
      </c>
      <c r="G14" s="11" t="s">
        <v>1042</v>
      </c>
      <c r="H14" s="11" t="s">
        <v>1043</v>
      </c>
      <c r="I14" s="11"/>
    </row>
    <row r="15" spans="1:9" ht="25.5" x14ac:dyDescent="0.45">
      <c r="A15" s="11">
        <v>14</v>
      </c>
      <c r="B15" s="11" t="s">
        <v>7</v>
      </c>
      <c r="C15" s="11" t="s">
        <v>301</v>
      </c>
      <c r="D15" s="11" t="s">
        <v>298</v>
      </c>
      <c r="E15" s="11" t="s">
        <v>302</v>
      </c>
      <c r="F15" s="11" t="s">
        <v>1041</v>
      </c>
      <c r="G15" s="11" t="s">
        <v>1042</v>
      </c>
      <c r="H15" s="11" t="s">
        <v>1044</v>
      </c>
      <c r="I15" s="11"/>
    </row>
    <row r="16" spans="1:9" ht="25.5" x14ac:dyDescent="0.45">
      <c r="A16" s="11">
        <v>15</v>
      </c>
      <c r="B16" s="11" t="s">
        <v>240</v>
      </c>
      <c r="C16" s="11" t="s">
        <v>1045</v>
      </c>
      <c r="D16" s="11" t="s">
        <v>1046</v>
      </c>
      <c r="E16" s="11" t="s">
        <v>1047</v>
      </c>
      <c r="F16" s="11" t="s">
        <v>1048</v>
      </c>
      <c r="G16" s="11" t="s">
        <v>1049</v>
      </c>
      <c r="H16" s="11" t="s">
        <v>1050</v>
      </c>
      <c r="I16" s="11"/>
    </row>
    <row r="17" spans="1:9" ht="38.25" x14ac:dyDescent="0.45">
      <c r="A17" s="11">
        <v>16</v>
      </c>
      <c r="B17" s="11" t="s">
        <v>240</v>
      </c>
      <c r="C17" s="11" t="s">
        <v>1051</v>
      </c>
      <c r="D17" s="11" t="s">
        <v>1046</v>
      </c>
      <c r="E17" s="11" t="s">
        <v>1052</v>
      </c>
      <c r="F17" s="11" t="s">
        <v>1048</v>
      </c>
      <c r="G17" s="11" t="s">
        <v>1015</v>
      </c>
      <c r="H17" s="11" t="s">
        <v>1050</v>
      </c>
      <c r="I17" s="11"/>
    </row>
    <row r="18" spans="1:9" ht="25.5" x14ac:dyDescent="0.45">
      <c r="A18" s="11">
        <v>17</v>
      </c>
      <c r="B18" s="11" t="s">
        <v>240</v>
      </c>
      <c r="C18" s="11" t="s">
        <v>1053</v>
      </c>
      <c r="D18" s="11" t="s">
        <v>1046</v>
      </c>
      <c r="E18" s="11" t="s">
        <v>1054</v>
      </c>
      <c r="F18" s="11" t="s">
        <v>1048</v>
      </c>
      <c r="G18" s="11" t="s">
        <v>1015</v>
      </c>
      <c r="H18" s="11" t="s">
        <v>1050</v>
      </c>
      <c r="I18" s="11"/>
    </row>
    <row r="19" spans="1:9" ht="38.25" x14ac:dyDescent="0.45">
      <c r="A19" s="11">
        <v>18</v>
      </c>
      <c r="B19" s="11" t="s">
        <v>240</v>
      </c>
      <c r="C19" s="11" t="s">
        <v>1055</v>
      </c>
      <c r="D19" s="11" t="s">
        <v>1056</v>
      </c>
      <c r="E19" s="11" t="s">
        <v>1057</v>
      </c>
      <c r="F19" s="11" t="s">
        <v>1048</v>
      </c>
      <c r="G19" s="11" t="s">
        <v>1015</v>
      </c>
      <c r="H19" s="11" t="s">
        <v>1058</v>
      </c>
      <c r="I19" s="11"/>
    </row>
    <row r="20" spans="1:9" ht="38.25" x14ac:dyDescent="0.45">
      <c r="A20" s="11">
        <v>19</v>
      </c>
      <c r="B20" s="11" t="s">
        <v>240</v>
      </c>
      <c r="C20" s="11" t="s">
        <v>1059</v>
      </c>
      <c r="D20" s="11" t="s">
        <v>1060</v>
      </c>
      <c r="E20" s="11" t="s">
        <v>1061</v>
      </c>
      <c r="F20" s="11" t="s">
        <v>1048</v>
      </c>
      <c r="G20" s="11" t="s">
        <v>1015</v>
      </c>
      <c r="H20" s="11" t="s">
        <v>1062</v>
      </c>
      <c r="I20" s="11"/>
    </row>
    <row r="21" spans="1:9" x14ac:dyDescent="0.45">
      <c r="A21" s="11">
        <v>20</v>
      </c>
      <c r="B21" s="11" t="s">
        <v>240</v>
      </c>
      <c r="C21" s="11" t="s">
        <v>1063</v>
      </c>
      <c r="D21" s="11" t="s">
        <v>278</v>
      </c>
      <c r="E21" s="11" t="s">
        <v>1064</v>
      </c>
      <c r="F21" s="11" t="s">
        <v>280</v>
      </c>
      <c r="G21" s="11" t="s">
        <v>1015</v>
      </c>
      <c r="H21" s="11" t="s">
        <v>1065</v>
      </c>
      <c r="I21" s="11"/>
    </row>
    <row r="22" spans="1:9" x14ac:dyDescent="0.45">
      <c r="A22" s="11">
        <v>21</v>
      </c>
      <c r="B22" s="11" t="s">
        <v>1066</v>
      </c>
      <c r="C22" s="11" t="s">
        <v>1067</v>
      </c>
      <c r="D22" s="11" t="s">
        <v>305</v>
      </c>
      <c r="E22" s="11" t="s">
        <v>306</v>
      </c>
      <c r="F22" s="11" t="s">
        <v>307</v>
      </c>
      <c r="G22" s="11" t="s">
        <v>1068</v>
      </c>
      <c r="H22" s="11" t="s">
        <v>1069</v>
      </c>
      <c r="I22" s="11"/>
    </row>
    <row r="23" spans="1:9" ht="38.25" x14ac:dyDescent="0.45">
      <c r="A23" s="11">
        <v>22</v>
      </c>
      <c r="B23" s="11" t="s">
        <v>1066</v>
      </c>
      <c r="C23" s="11" t="s">
        <v>1070</v>
      </c>
      <c r="D23" s="11" t="s">
        <v>169</v>
      </c>
      <c r="E23" s="11" t="s">
        <v>311</v>
      </c>
      <c r="F23" s="11" t="s">
        <v>312</v>
      </c>
      <c r="G23" s="11" t="s">
        <v>1071</v>
      </c>
      <c r="H23" s="11" t="s">
        <v>1012</v>
      </c>
      <c r="I23" s="11"/>
    </row>
    <row r="24" spans="1:9" ht="25.5" x14ac:dyDescent="0.45">
      <c r="A24" s="11">
        <v>23</v>
      </c>
      <c r="B24" s="11" t="s">
        <v>1066</v>
      </c>
      <c r="C24" s="11" t="s">
        <v>974</v>
      </c>
      <c r="D24" s="11" t="s">
        <v>1072</v>
      </c>
      <c r="E24" s="11" t="s">
        <v>1073</v>
      </c>
      <c r="F24" s="11" t="s">
        <v>319</v>
      </c>
      <c r="G24" s="11" t="s">
        <v>1015</v>
      </c>
      <c r="H24" s="11" t="s">
        <v>1074</v>
      </c>
      <c r="I24" s="11"/>
    </row>
    <row r="25" spans="1:9" x14ac:dyDescent="0.45">
      <c r="A25" s="11">
        <v>24</v>
      </c>
      <c r="B25" s="11" t="s">
        <v>1075</v>
      </c>
      <c r="C25" s="11" t="s">
        <v>1076</v>
      </c>
      <c r="D25" s="11" t="s">
        <v>324</v>
      </c>
      <c r="E25" s="11" t="s">
        <v>1077</v>
      </c>
      <c r="F25" s="11" t="s">
        <v>326</v>
      </c>
      <c r="G25" s="11" t="s">
        <v>1015</v>
      </c>
      <c r="H25" s="11" t="s">
        <v>1078</v>
      </c>
      <c r="I25" s="11"/>
    </row>
    <row r="26" spans="1:9" x14ac:dyDescent="0.45">
      <c r="A26" s="11">
        <v>25</v>
      </c>
      <c r="B26" s="11" t="s">
        <v>1075</v>
      </c>
      <c r="C26" s="11" t="s">
        <v>1079</v>
      </c>
      <c r="D26" s="11" t="s">
        <v>324</v>
      </c>
      <c r="E26" s="11" t="s">
        <v>1080</v>
      </c>
      <c r="F26" s="11" t="s">
        <v>1081</v>
      </c>
      <c r="G26" s="11" t="s">
        <v>1015</v>
      </c>
      <c r="H26" s="11" t="s">
        <v>1082</v>
      </c>
      <c r="I26" s="11"/>
    </row>
    <row r="27" spans="1:9" x14ac:dyDescent="0.45">
      <c r="A27" s="11">
        <v>26</v>
      </c>
      <c r="B27" s="11" t="s">
        <v>1075</v>
      </c>
      <c r="C27" s="11" t="s">
        <v>335</v>
      </c>
      <c r="D27" s="11" t="s">
        <v>336</v>
      </c>
      <c r="E27" s="11" t="s">
        <v>1083</v>
      </c>
      <c r="F27" s="11" t="s">
        <v>1084</v>
      </c>
      <c r="G27" s="11" t="s">
        <v>1015</v>
      </c>
      <c r="H27" s="11" t="s">
        <v>1085</v>
      </c>
      <c r="I27" s="11"/>
    </row>
    <row r="28" spans="1:9" ht="25.5" x14ac:dyDescent="0.45">
      <c r="A28" s="11">
        <v>27</v>
      </c>
      <c r="B28" s="11" t="s">
        <v>341</v>
      </c>
      <c r="C28" s="11" t="s">
        <v>1086</v>
      </c>
      <c r="D28" s="11" t="s">
        <v>169</v>
      </c>
      <c r="E28" s="11" t="s">
        <v>343</v>
      </c>
      <c r="F28" s="11" t="s">
        <v>1087</v>
      </c>
      <c r="G28" s="11" t="s">
        <v>1088</v>
      </c>
      <c r="H28" s="11" t="s">
        <v>1089</v>
      </c>
      <c r="I28" s="11"/>
    </row>
    <row r="29" spans="1:9" ht="25.5" x14ac:dyDescent="0.45">
      <c r="A29" s="11">
        <v>28</v>
      </c>
      <c r="B29" s="11" t="s">
        <v>341</v>
      </c>
      <c r="C29" s="11" t="s">
        <v>347</v>
      </c>
      <c r="D29" s="11" t="s">
        <v>169</v>
      </c>
      <c r="E29" s="11" t="s">
        <v>348</v>
      </c>
      <c r="F29" s="11" t="s">
        <v>1087</v>
      </c>
      <c r="G29" s="11" t="s">
        <v>1090</v>
      </c>
      <c r="H29" s="11" t="s">
        <v>1091</v>
      </c>
      <c r="I29" s="11"/>
    </row>
    <row r="30" spans="1:9" ht="25.5" x14ac:dyDescent="0.45">
      <c r="A30" s="11">
        <v>29</v>
      </c>
      <c r="B30" s="11" t="s">
        <v>341</v>
      </c>
      <c r="C30" s="11" t="s">
        <v>350</v>
      </c>
      <c r="D30" s="11" t="s">
        <v>1046</v>
      </c>
      <c r="E30" s="11" t="s">
        <v>1092</v>
      </c>
      <c r="F30" s="11" t="s">
        <v>1087</v>
      </c>
      <c r="G30" s="11" t="s">
        <v>1093</v>
      </c>
      <c r="H30" s="11" t="s">
        <v>1094</v>
      </c>
      <c r="I30" s="11"/>
    </row>
    <row r="31" spans="1:9" ht="25.5" x14ac:dyDescent="0.45">
      <c r="A31" s="11">
        <v>30</v>
      </c>
      <c r="B31" s="11" t="s">
        <v>341</v>
      </c>
      <c r="C31" s="11" t="s">
        <v>1095</v>
      </c>
      <c r="D31" s="11" t="s">
        <v>1060</v>
      </c>
      <c r="E31" s="11" t="s">
        <v>1096</v>
      </c>
      <c r="F31" s="11" t="s">
        <v>1087</v>
      </c>
      <c r="G31" s="11" t="s">
        <v>1093</v>
      </c>
      <c r="H31" s="11" t="s">
        <v>1097</v>
      </c>
      <c r="I31" s="11"/>
    </row>
    <row r="32" spans="1:9" ht="25.5" x14ac:dyDescent="0.45">
      <c r="A32" s="11">
        <v>31</v>
      </c>
      <c r="B32" s="11" t="s">
        <v>341</v>
      </c>
      <c r="C32" s="11" t="s">
        <v>1098</v>
      </c>
      <c r="D32" s="11" t="s">
        <v>1099</v>
      </c>
      <c r="E32" s="11" t="s">
        <v>1100</v>
      </c>
      <c r="F32" s="11" t="s">
        <v>70</v>
      </c>
      <c r="G32" s="11" t="s">
        <v>1101</v>
      </c>
      <c r="H32" s="11" t="s">
        <v>70</v>
      </c>
      <c r="I32" s="11"/>
    </row>
    <row r="33" spans="1:9" x14ac:dyDescent="0.45">
      <c r="A33" s="11">
        <v>32</v>
      </c>
      <c r="B33" s="11" t="s">
        <v>1102</v>
      </c>
      <c r="C33" s="11" t="s">
        <v>1103</v>
      </c>
      <c r="D33" s="11" t="s">
        <v>68</v>
      </c>
      <c r="E33" s="11" t="s">
        <v>69</v>
      </c>
      <c r="F33" s="11" t="s">
        <v>70</v>
      </c>
      <c r="G33" s="11" t="s">
        <v>1104</v>
      </c>
      <c r="H33" s="11" t="s">
        <v>1105</v>
      </c>
      <c r="I33" s="11"/>
    </row>
    <row r="34" spans="1:9" x14ac:dyDescent="0.45">
      <c r="A34" s="11">
        <v>33</v>
      </c>
      <c r="B34" s="11" t="s">
        <v>1102</v>
      </c>
      <c r="C34" s="11" t="s">
        <v>1106</v>
      </c>
      <c r="D34" s="11" t="s">
        <v>68</v>
      </c>
      <c r="E34" s="12" t="s">
        <v>33</v>
      </c>
      <c r="F34" s="11" t="s">
        <v>70</v>
      </c>
      <c r="G34" s="11" t="s">
        <v>1107</v>
      </c>
      <c r="H34" s="11" t="s">
        <v>1108</v>
      </c>
      <c r="I34" s="11"/>
    </row>
    <row r="35" spans="1:9" x14ac:dyDescent="0.45">
      <c r="A35" s="11">
        <v>34</v>
      </c>
      <c r="B35" s="11" t="s">
        <v>1102</v>
      </c>
      <c r="C35" s="11" t="s">
        <v>1109</v>
      </c>
      <c r="D35" s="11" t="s">
        <v>68</v>
      </c>
      <c r="E35" s="11" t="s">
        <v>89</v>
      </c>
      <c r="F35" s="11" t="s">
        <v>70</v>
      </c>
      <c r="G35" s="11" t="s">
        <v>1104</v>
      </c>
      <c r="H35" s="11" t="s">
        <v>1110</v>
      </c>
      <c r="I35" s="11"/>
    </row>
    <row r="36" spans="1:9" x14ac:dyDescent="0.45">
      <c r="A36" s="11">
        <v>35</v>
      </c>
      <c r="B36" s="11" t="s">
        <v>1102</v>
      </c>
      <c r="C36" s="11" t="s">
        <v>867</v>
      </c>
      <c r="D36" s="11" t="s">
        <v>33</v>
      </c>
      <c r="E36" s="12" t="s">
        <v>33</v>
      </c>
      <c r="F36" s="11" t="s">
        <v>70</v>
      </c>
      <c r="G36" s="11" t="s">
        <v>1107</v>
      </c>
      <c r="H36" s="11" t="s">
        <v>1108</v>
      </c>
      <c r="I36" s="11"/>
    </row>
    <row r="37" spans="1:9" x14ac:dyDescent="0.45">
      <c r="A37" s="11">
        <v>36</v>
      </c>
      <c r="B37" s="11" t="s">
        <v>1102</v>
      </c>
      <c r="C37" s="11" t="s">
        <v>1111</v>
      </c>
      <c r="D37" s="11" t="s">
        <v>33</v>
      </c>
      <c r="E37" s="12" t="s">
        <v>33</v>
      </c>
      <c r="F37" s="11" t="s">
        <v>70</v>
      </c>
      <c r="G37" s="11" t="s">
        <v>1107</v>
      </c>
      <c r="H37" s="11" t="s">
        <v>1112</v>
      </c>
      <c r="I37" s="11"/>
    </row>
    <row r="38" spans="1:9" ht="25.5" x14ac:dyDescent="0.45">
      <c r="A38" s="11">
        <v>37</v>
      </c>
      <c r="B38" s="11" t="s">
        <v>1102</v>
      </c>
      <c r="C38" s="11" t="s">
        <v>1113</v>
      </c>
      <c r="D38" s="11" t="s">
        <v>33</v>
      </c>
      <c r="E38" s="12" t="s">
        <v>33</v>
      </c>
      <c r="F38" s="11" t="s">
        <v>70</v>
      </c>
      <c r="G38" s="11" t="s">
        <v>1114</v>
      </c>
      <c r="H38" s="11" t="s">
        <v>1115</v>
      </c>
      <c r="I38" s="11"/>
    </row>
    <row r="39" spans="1:9" x14ac:dyDescent="0.45">
      <c r="A39" s="11">
        <v>38</v>
      </c>
      <c r="B39" s="11" t="s">
        <v>1102</v>
      </c>
      <c r="C39" s="11" t="s">
        <v>1116</v>
      </c>
      <c r="D39" s="11" t="s">
        <v>116</v>
      </c>
      <c r="E39" s="11" t="s">
        <v>117</v>
      </c>
      <c r="F39" s="11" t="s">
        <v>70</v>
      </c>
      <c r="G39" s="11" t="s">
        <v>1117</v>
      </c>
      <c r="H39" s="11" t="s">
        <v>1118</v>
      </c>
      <c r="I39" s="11"/>
    </row>
    <row r="40" spans="1:9" ht="25.5" x14ac:dyDescent="0.45">
      <c r="A40" s="11">
        <v>39</v>
      </c>
      <c r="B40" s="11" t="s">
        <v>1102</v>
      </c>
      <c r="C40" s="11" t="s">
        <v>137</v>
      </c>
      <c r="D40" s="11" t="s">
        <v>33</v>
      </c>
      <c r="E40" s="12" t="s">
        <v>33</v>
      </c>
      <c r="F40" s="11" t="s">
        <v>70</v>
      </c>
      <c r="G40" s="11" t="s">
        <v>1119</v>
      </c>
      <c r="H40" s="11" t="s">
        <v>1120</v>
      </c>
      <c r="I40" s="11"/>
    </row>
    <row r="41" spans="1:9" x14ac:dyDescent="0.45">
      <c r="A41" s="11">
        <v>40</v>
      </c>
      <c r="B41" s="11" t="s">
        <v>1102</v>
      </c>
      <c r="C41" s="11" t="s">
        <v>1121</v>
      </c>
      <c r="D41" s="11" t="s">
        <v>147</v>
      </c>
      <c r="E41" s="11" t="s">
        <v>1122</v>
      </c>
      <c r="F41" s="11" t="s">
        <v>70</v>
      </c>
      <c r="G41" s="11" t="s">
        <v>1123</v>
      </c>
      <c r="H41" s="11" t="s">
        <v>1124</v>
      </c>
      <c r="I41" s="11"/>
    </row>
    <row r="42" spans="1:9" x14ac:dyDescent="0.45">
      <c r="A42" s="11">
        <v>41</v>
      </c>
      <c r="B42" s="11" t="s">
        <v>1102</v>
      </c>
      <c r="C42" s="11" t="s">
        <v>151</v>
      </c>
      <c r="D42" s="11" t="s">
        <v>152</v>
      </c>
      <c r="E42" s="11" t="s">
        <v>153</v>
      </c>
      <c r="F42" s="11" t="s">
        <v>70</v>
      </c>
      <c r="G42" s="11" t="s">
        <v>1015</v>
      </c>
      <c r="H42" s="11" t="s">
        <v>1125</v>
      </c>
      <c r="I42" s="11"/>
    </row>
    <row r="43" spans="1:9" x14ac:dyDescent="0.45">
      <c r="A43" s="11">
        <v>42</v>
      </c>
      <c r="B43" s="11" t="s">
        <v>1102</v>
      </c>
      <c r="C43" s="11" t="s">
        <v>159</v>
      </c>
      <c r="D43" s="11" t="s">
        <v>160</v>
      </c>
      <c r="E43" s="11" t="s">
        <v>161</v>
      </c>
      <c r="F43" s="11" t="s">
        <v>70</v>
      </c>
      <c r="G43" s="11" t="s">
        <v>1015</v>
      </c>
      <c r="H43" s="11" t="s">
        <v>1126</v>
      </c>
      <c r="I43" s="11"/>
    </row>
    <row r="45" spans="1:9" x14ac:dyDescent="0.45">
      <c r="A45" s="13" t="s">
        <v>1127</v>
      </c>
    </row>
    <row r="46" spans="1:9" x14ac:dyDescent="0.45">
      <c r="A46" s="13" t="s">
        <v>1128</v>
      </c>
    </row>
  </sheetData>
  <autoFilter ref="A1:I43" xr:uid="{00000000-0009-0000-0000-000007000000}"/>
  <dataValidations count="1">
    <dataValidation type="list" allowBlank="1" sqref="I2:I43" xr:uid="{00000000-0002-0000-0700-000000000000}">
      <formula1>"Yes,No,Requested"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Device List</vt:lpstr>
      <vt:lpstr>Protocol Summary</vt:lpstr>
      <vt:lpstr>IO List</vt:lpstr>
      <vt:lpstr>IO Summary</vt:lpstr>
      <vt:lpstr>IO Rows</vt:lpstr>
      <vt:lpstr>Comms Points</vt:lpstr>
      <vt:lpstr>Datasheets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faith elisha</cp:lastModifiedBy>
  <cp:revision>0</cp:revision>
  <dcterms:created xsi:type="dcterms:W3CDTF">2026-10-15T10:06:04Z</dcterms:created>
  <dcterms:modified xsi:type="dcterms:W3CDTF">2026-10-15T17:44:45Z</dcterms:modified>
  <dc:language>en-US</dc:language>
</cp:coreProperties>
</file>